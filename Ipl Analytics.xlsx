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sohamkarve/Desktop/Excel/"/>
    </mc:Choice>
  </mc:AlternateContent>
  <xr:revisionPtr revIDLastSave="0" documentId="8_{6D3EDC47-9B33-E447-B7A3-F6EFE8FD5269}" xr6:coauthVersionLast="47" xr6:coauthVersionMax="47" xr10:uidLastSave="{00000000-0000-0000-0000-000000000000}"/>
  <bookViews>
    <workbookView xWindow="0" yWindow="0" windowWidth="28800" windowHeight="18000" xr2:uid="{61831787-DE74-4540-9998-0A60EBD78E0D}"/>
  </bookViews>
  <sheets>
    <sheet name="players " sheetId="6" r:id="rId1"/>
    <sheet name="matches " sheetId="7" r:id="rId2"/>
    <sheet name="Teams" sheetId="11" r:id="rId3"/>
    <sheet name="batting_stats " sheetId="8" r:id="rId4"/>
    <sheet name="bowling_stats " sheetId="9" r:id="rId5"/>
    <sheet name="auction_data" sheetId="10" r:id="rId6"/>
    <sheet name="Pivot" sheetId="13" r:id="rId7"/>
  </sheets>
  <definedNames>
    <definedName name="ExternalData_1" localSheetId="5" hidden="1">auction_data!$A$3:$C$91</definedName>
    <definedName name="ExternalData_1" localSheetId="3" hidden="1">'batting_stats '!$A$3:$J$78</definedName>
    <definedName name="ExternalData_1" localSheetId="4" hidden="1">'bowling_stats '!$A$3:$I$52</definedName>
    <definedName name="ExternalData_1" localSheetId="1" hidden="1">'matches '!$A$3:$E$253</definedName>
    <definedName name="ExternalData_1" localSheetId="0" hidden="1">'players '!$A$3:$J$91</definedName>
    <definedName name="Slicer_overall">#N/A</definedName>
    <definedName name="Slicer_role">#N/A</definedName>
  </definedNames>
  <calcPr calcId="181029"/>
  <pivotCaches>
    <pivotCache cacheId="15"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5" i="6" l="1"/>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4" i="6"/>
  <c r="B4" i="9"/>
  <c r="C4" i="9" s="1"/>
  <c r="D4" i="9" s="1"/>
  <c r="G4" i="9" s="1"/>
  <c r="B5" i="9"/>
  <c r="C5" i="9" s="1"/>
  <c r="D5" i="9" s="1"/>
  <c r="G5" i="9" s="1"/>
  <c r="B6" i="9"/>
  <c r="C6" i="9" s="1"/>
  <c r="D6" i="9" s="1"/>
  <c r="G6" i="9" s="1"/>
  <c r="B7" i="9"/>
  <c r="C7" i="9" s="1"/>
  <c r="D7" i="9" s="1"/>
  <c r="G7" i="9" s="1"/>
  <c r="B8" i="9"/>
  <c r="C8" i="9" s="1"/>
  <c r="D8" i="9" s="1"/>
  <c r="G8" i="9" s="1"/>
  <c r="B9" i="9"/>
  <c r="C9" i="9" s="1"/>
  <c r="D9" i="9" s="1"/>
  <c r="G9" i="9" s="1"/>
  <c r="B10" i="9"/>
  <c r="C10" i="9" s="1"/>
  <c r="D10" i="9" s="1"/>
  <c r="G10" i="9" s="1"/>
  <c r="B11" i="9"/>
  <c r="C11" i="9" s="1"/>
  <c r="D11" i="9" s="1"/>
  <c r="G11" i="9" s="1"/>
  <c r="B12" i="9"/>
  <c r="C12" i="9" s="1"/>
  <c r="D12" i="9" s="1"/>
  <c r="G12" i="9" s="1"/>
  <c r="B13" i="9"/>
  <c r="C13" i="9" s="1"/>
  <c r="D13" i="9" s="1"/>
  <c r="G13" i="9" s="1"/>
  <c r="B14" i="9"/>
  <c r="C14" i="9" s="1"/>
  <c r="D14" i="9" s="1"/>
  <c r="G14" i="9" s="1"/>
  <c r="B15" i="9"/>
  <c r="C15" i="9" s="1"/>
  <c r="D15" i="9" s="1"/>
  <c r="G15" i="9" s="1"/>
  <c r="B16" i="9"/>
  <c r="C16" i="9" s="1"/>
  <c r="D16" i="9" s="1"/>
  <c r="G16" i="9" s="1"/>
  <c r="B17" i="9"/>
  <c r="C17" i="9" s="1"/>
  <c r="D17" i="9" s="1"/>
  <c r="G17" i="9" s="1"/>
  <c r="B18" i="9"/>
  <c r="C18" i="9" s="1"/>
  <c r="D18" i="9" s="1"/>
  <c r="G18" i="9" s="1"/>
  <c r="B19" i="9"/>
  <c r="C19" i="9" s="1"/>
  <c r="D19" i="9" s="1"/>
  <c r="G19" i="9" s="1"/>
  <c r="B20" i="9"/>
  <c r="C20" i="9" s="1"/>
  <c r="D20" i="9" s="1"/>
  <c r="G20" i="9" s="1"/>
  <c r="B21" i="9"/>
  <c r="C21" i="9" s="1"/>
  <c r="D21" i="9" s="1"/>
  <c r="G21" i="9" s="1"/>
  <c r="B22" i="9"/>
  <c r="C22" i="9" s="1"/>
  <c r="D22" i="9" s="1"/>
  <c r="G22" i="9" s="1"/>
  <c r="B23" i="9"/>
  <c r="C23" i="9" s="1"/>
  <c r="D23" i="9" s="1"/>
  <c r="G23" i="9" s="1"/>
  <c r="B24" i="9"/>
  <c r="C24" i="9" s="1"/>
  <c r="D24" i="9" s="1"/>
  <c r="G24" i="9" s="1"/>
  <c r="B25" i="9"/>
  <c r="C25" i="9" s="1"/>
  <c r="D25" i="9" s="1"/>
  <c r="G25" i="9" s="1"/>
  <c r="B26" i="9"/>
  <c r="C26" i="9" s="1"/>
  <c r="D26" i="9" s="1"/>
  <c r="G26" i="9" s="1"/>
  <c r="B27" i="9"/>
  <c r="C27" i="9" s="1"/>
  <c r="D27" i="9" s="1"/>
  <c r="G27" i="9" s="1"/>
  <c r="B28" i="9"/>
  <c r="C28" i="9" s="1"/>
  <c r="D28" i="9" s="1"/>
  <c r="G28" i="9" s="1"/>
  <c r="B29" i="9"/>
  <c r="C29" i="9" s="1"/>
  <c r="D29" i="9" s="1"/>
  <c r="G29" i="9" s="1"/>
  <c r="B30" i="9"/>
  <c r="C30" i="9" s="1"/>
  <c r="D30" i="9" s="1"/>
  <c r="G30" i="9" s="1"/>
  <c r="B31" i="9"/>
  <c r="C31" i="9" s="1"/>
  <c r="D31" i="9" s="1"/>
  <c r="G31" i="9" s="1"/>
  <c r="B32" i="9"/>
  <c r="C32" i="9" s="1"/>
  <c r="D32" i="9" s="1"/>
  <c r="G32" i="9" s="1"/>
  <c r="B33" i="9"/>
  <c r="C33" i="9" s="1"/>
  <c r="D33" i="9" s="1"/>
  <c r="G33" i="9" s="1"/>
  <c r="B34" i="9"/>
  <c r="C34" i="9" s="1"/>
  <c r="D34" i="9" s="1"/>
  <c r="G34" i="9" s="1"/>
  <c r="B35" i="9"/>
  <c r="C35" i="9" s="1"/>
  <c r="D35" i="9" s="1"/>
  <c r="G35" i="9" s="1"/>
  <c r="B36" i="9"/>
  <c r="C36" i="9" s="1"/>
  <c r="D36" i="9" s="1"/>
  <c r="G36" i="9" s="1"/>
  <c r="B37" i="9"/>
  <c r="C37" i="9" s="1"/>
  <c r="D37" i="9" s="1"/>
  <c r="G37" i="9" s="1"/>
  <c r="B38" i="9"/>
  <c r="C38" i="9" s="1"/>
  <c r="D38" i="9" s="1"/>
  <c r="G38" i="9" s="1"/>
  <c r="B39" i="9"/>
  <c r="C39" i="9" s="1"/>
  <c r="D39" i="9" s="1"/>
  <c r="G39" i="9" s="1"/>
  <c r="B40" i="9"/>
  <c r="C40" i="9" s="1"/>
  <c r="D40" i="9" s="1"/>
  <c r="G40" i="9" s="1"/>
  <c r="B41" i="9"/>
  <c r="C41" i="9" s="1"/>
  <c r="D41" i="9" s="1"/>
  <c r="G41" i="9" s="1"/>
  <c r="B42" i="9"/>
  <c r="C42" i="9" s="1"/>
  <c r="D42" i="9" s="1"/>
  <c r="G42" i="9" s="1"/>
  <c r="B43" i="9"/>
  <c r="C43" i="9" s="1"/>
  <c r="D43" i="9" s="1"/>
  <c r="G43" i="9" s="1"/>
  <c r="B44" i="9"/>
  <c r="C44" i="9" s="1"/>
  <c r="D44" i="9" s="1"/>
  <c r="G44" i="9" s="1"/>
  <c r="B45" i="9"/>
  <c r="C45" i="9" s="1"/>
  <c r="D45" i="9" s="1"/>
  <c r="G45" i="9" s="1"/>
  <c r="B46" i="9"/>
  <c r="C46" i="9" s="1"/>
  <c r="D46" i="9" s="1"/>
  <c r="G46" i="9" s="1"/>
  <c r="B47" i="9"/>
  <c r="C47" i="9" s="1"/>
  <c r="D47" i="9" s="1"/>
  <c r="G47" i="9" s="1"/>
  <c r="B48" i="9"/>
  <c r="C48" i="9" s="1"/>
  <c r="D48" i="9" s="1"/>
  <c r="G48" i="9" s="1"/>
  <c r="B49" i="9"/>
  <c r="C49" i="9" s="1"/>
  <c r="D49" i="9" s="1"/>
  <c r="G49" i="9" s="1"/>
  <c r="B50" i="9"/>
  <c r="C50" i="9" s="1"/>
  <c r="D50" i="9" s="1"/>
  <c r="G50" i="9" s="1"/>
  <c r="B51" i="9"/>
  <c r="C51" i="9" s="1"/>
  <c r="D51" i="9" s="1"/>
  <c r="G51" i="9" s="1"/>
  <c r="B52" i="9"/>
  <c r="C52" i="9" s="1"/>
  <c r="D52" i="9" s="1"/>
  <c r="G52" i="9" s="1"/>
  <c r="B4" i="8"/>
  <c r="C4" i="8" s="1"/>
  <c r="D4" i="8" s="1"/>
  <c r="B5" i="8"/>
  <c r="C5" i="8" s="1"/>
  <c r="D5" i="8" s="1"/>
  <c r="H5" i="8" s="1"/>
  <c r="B6" i="8"/>
  <c r="C6" i="8" s="1"/>
  <c r="D6" i="8" s="1"/>
  <c r="H6" i="8" s="1"/>
  <c r="B7" i="8"/>
  <c r="C7" i="8" s="1"/>
  <c r="D7" i="8" s="1"/>
  <c r="H7" i="8" s="1"/>
  <c r="B8" i="8"/>
  <c r="C8" i="8" s="1"/>
  <c r="D8" i="8" s="1"/>
  <c r="H8" i="8" s="1"/>
  <c r="B9" i="8"/>
  <c r="C9" i="8" s="1"/>
  <c r="D9" i="8" s="1"/>
  <c r="H9" i="8" s="1"/>
  <c r="B10" i="8"/>
  <c r="C10" i="8" s="1"/>
  <c r="D10" i="8" s="1"/>
  <c r="H10" i="8" s="1"/>
  <c r="B11" i="8"/>
  <c r="C11" i="8" s="1"/>
  <c r="D11" i="8" s="1"/>
  <c r="H11" i="8" s="1"/>
  <c r="B12" i="8"/>
  <c r="C12" i="8" s="1"/>
  <c r="D12" i="8" s="1"/>
  <c r="H12" i="8" s="1"/>
  <c r="B13" i="8"/>
  <c r="C13" i="8" s="1"/>
  <c r="D13" i="8" s="1"/>
  <c r="H13" i="8" s="1"/>
  <c r="B14" i="8"/>
  <c r="C14" i="8" s="1"/>
  <c r="D14" i="8" s="1"/>
  <c r="H14" i="8" s="1"/>
  <c r="B15" i="8"/>
  <c r="C15" i="8" s="1"/>
  <c r="D15" i="8" s="1"/>
  <c r="H15" i="8" s="1"/>
  <c r="B16" i="8"/>
  <c r="C16" i="8" s="1"/>
  <c r="D16" i="8" s="1"/>
  <c r="H16" i="8" s="1"/>
  <c r="B17" i="8"/>
  <c r="C17" i="8" s="1"/>
  <c r="D17" i="8" s="1"/>
  <c r="H17" i="8" s="1"/>
  <c r="B18" i="8"/>
  <c r="C18" i="8" s="1"/>
  <c r="D18" i="8" s="1"/>
  <c r="H18" i="8" s="1"/>
  <c r="B19" i="8"/>
  <c r="C19" i="8" s="1"/>
  <c r="D19" i="8" s="1"/>
  <c r="H19" i="8" s="1"/>
  <c r="B20" i="8"/>
  <c r="C20" i="8" s="1"/>
  <c r="D20" i="8" s="1"/>
  <c r="H20" i="8" s="1"/>
  <c r="B21" i="8"/>
  <c r="C21" i="8" s="1"/>
  <c r="D21" i="8" s="1"/>
  <c r="H21" i="8" s="1"/>
  <c r="B22" i="8"/>
  <c r="C22" i="8" s="1"/>
  <c r="D22" i="8" s="1"/>
  <c r="H22" i="8" s="1"/>
  <c r="B23" i="8"/>
  <c r="C23" i="8" s="1"/>
  <c r="D23" i="8" s="1"/>
  <c r="H23" i="8" s="1"/>
  <c r="B24" i="8"/>
  <c r="C24" i="8" s="1"/>
  <c r="D24" i="8" s="1"/>
  <c r="H24" i="8" s="1"/>
  <c r="B25" i="8"/>
  <c r="C25" i="8" s="1"/>
  <c r="D25" i="8" s="1"/>
  <c r="H25" i="8" s="1"/>
  <c r="B26" i="8"/>
  <c r="C26" i="8" s="1"/>
  <c r="D26" i="8" s="1"/>
  <c r="H26" i="8" s="1"/>
  <c r="B27" i="8"/>
  <c r="C27" i="8" s="1"/>
  <c r="D27" i="8" s="1"/>
  <c r="H27" i="8" s="1"/>
  <c r="B28" i="8"/>
  <c r="C28" i="8" s="1"/>
  <c r="D28" i="8" s="1"/>
  <c r="H28" i="8" s="1"/>
  <c r="B29" i="8"/>
  <c r="C29" i="8" s="1"/>
  <c r="D29" i="8" s="1"/>
  <c r="H29" i="8" s="1"/>
  <c r="B30" i="8"/>
  <c r="C30" i="8" s="1"/>
  <c r="D30" i="8" s="1"/>
  <c r="H30" i="8" s="1"/>
  <c r="B31" i="8"/>
  <c r="C31" i="8" s="1"/>
  <c r="D31" i="8" s="1"/>
  <c r="H31" i="8" s="1"/>
  <c r="B32" i="8"/>
  <c r="C32" i="8" s="1"/>
  <c r="D32" i="8" s="1"/>
  <c r="H32" i="8" s="1"/>
  <c r="B33" i="8"/>
  <c r="C33" i="8" s="1"/>
  <c r="D33" i="8" s="1"/>
  <c r="H33" i="8" s="1"/>
  <c r="B34" i="8"/>
  <c r="C34" i="8" s="1"/>
  <c r="D34" i="8" s="1"/>
  <c r="H34" i="8" s="1"/>
  <c r="B35" i="8"/>
  <c r="C35" i="8" s="1"/>
  <c r="D35" i="8" s="1"/>
  <c r="H35" i="8" s="1"/>
  <c r="B36" i="8"/>
  <c r="C36" i="8" s="1"/>
  <c r="D36" i="8" s="1"/>
  <c r="H36" i="8" s="1"/>
  <c r="B37" i="8"/>
  <c r="C37" i="8" s="1"/>
  <c r="D37" i="8" s="1"/>
  <c r="H37" i="8" s="1"/>
  <c r="B38" i="8"/>
  <c r="C38" i="8" s="1"/>
  <c r="D38" i="8" s="1"/>
  <c r="H38" i="8" s="1"/>
  <c r="B39" i="8"/>
  <c r="C39" i="8" s="1"/>
  <c r="D39" i="8" s="1"/>
  <c r="H39" i="8" s="1"/>
  <c r="B40" i="8"/>
  <c r="C40" i="8" s="1"/>
  <c r="D40" i="8" s="1"/>
  <c r="H40" i="8" s="1"/>
  <c r="B41" i="8"/>
  <c r="C41" i="8" s="1"/>
  <c r="D41" i="8" s="1"/>
  <c r="H41" i="8" s="1"/>
  <c r="B42" i="8"/>
  <c r="C42" i="8" s="1"/>
  <c r="D42" i="8" s="1"/>
  <c r="H42" i="8" s="1"/>
  <c r="B43" i="8"/>
  <c r="C43" i="8" s="1"/>
  <c r="D43" i="8" s="1"/>
  <c r="H43" i="8" s="1"/>
  <c r="B44" i="8"/>
  <c r="C44" i="8" s="1"/>
  <c r="D44" i="8" s="1"/>
  <c r="H44" i="8" s="1"/>
  <c r="B45" i="8"/>
  <c r="C45" i="8" s="1"/>
  <c r="D45" i="8" s="1"/>
  <c r="H45" i="8" s="1"/>
  <c r="B46" i="8"/>
  <c r="C46" i="8" s="1"/>
  <c r="D46" i="8" s="1"/>
  <c r="H46" i="8" s="1"/>
  <c r="B47" i="8"/>
  <c r="C47" i="8" s="1"/>
  <c r="D47" i="8" s="1"/>
  <c r="H47" i="8" s="1"/>
  <c r="B48" i="8"/>
  <c r="C48" i="8" s="1"/>
  <c r="D48" i="8" s="1"/>
  <c r="H48" i="8" s="1"/>
  <c r="B49" i="8"/>
  <c r="C49" i="8" s="1"/>
  <c r="D49" i="8" s="1"/>
  <c r="H49" i="8" s="1"/>
  <c r="B50" i="8"/>
  <c r="C50" i="8" s="1"/>
  <c r="D50" i="8" s="1"/>
  <c r="H50" i="8" s="1"/>
  <c r="B51" i="8"/>
  <c r="C51" i="8" s="1"/>
  <c r="D51" i="8" s="1"/>
  <c r="H51" i="8" s="1"/>
  <c r="B52" i="8"/>
  <c r="C52" i="8" s="1"/>
  <c r="D52" i="8" s="1"/>
  <c r="H52" i="8" s="1"/>
  <c r="B53" i="8"/>
  <c r="C53" i="8" s="1"/>
  <c r="D53" i="8" s="1"/>
  <c r="H53" i="8" s="1"/>
  <c r="B54" i="8"/>
  <c r="C54" i="8" s="1"/>
  <c r="D54" i="8" s="1"/>
  <c r="H54" i="8" s="1"/>
  <c r="B55" i="8"/>
  <c r="C55" i="8" s="1"/>
  <c r="D55" i="8" s="1"/>
  <c r="H55" i="8" s="1"/>
  <c r="B56" i="8"/>
  <c r="C56" i="8" s="1"/>
  <c r="D56" i="8" s="1"/>
  <c r="H56" i="8" s="1"/>
  <c r="B57" i="8"/>
  <c r="C57" i="8" s="1"/>
  <c r="D57" i="8" s="1"/>
  <c r="H57" i="8" s="1"/>
  <c r="B58" i="8"/>
  <c r="C58" i="8" s="1"/>
  <c r="D58" i="8" s="1"/>
  <c r="H58" i="8" s="1"/>
  <c r="B59" i="8"/>
  <c r="C59" i="8" s="1"/>
  <c r="D59" i="8" s="1"/>
  <c r="H59" i="8" s="1"/>
  <c r="B60" i="8"/>
  <c r="C60" i="8" s="1"/>
  <c r="D60" i="8" s="1"/>
  <c r="H60" i="8" s="1"/>
  <c r="B61" i="8"/>
  <c r="C61" i="8" s="1"/>
  <c r="D61" i="8" s="1"/>
  <c r="H61" i="8" s="1"/>
  <c r="B62" i="8"/>
  <c r="C62" i="8" s="1"/>
  <c r="D62" i="8" s="1"/>
  <c r="H62" i="8" s="1"/>
  <c r="B63" i="8"/>
  <c r="C63" i="8" s="1"/>
  <c r="D63" i="8" s="1"/>
  <c r="H63" i="8" s="1"/>
  <c r="B64" i="8"/>
  <c r="C64" i="8" s="1"/>
  <c r="D64" i="8" s="1"/>
  <c r="H64" i="8" s="1"/>
  <c r="B65" i="8"/>
  <c r="C65" i="8" s="1"/>
  <c r="D65" i="8" s="1"/>
  <c r="H65" i="8" s="1"/>
  <c r="B66" i="8"/>
  <c r="C66" i="8" s="1"/>
  <c r="D66" i="8" s="1"/>
  <c r="H66" i="8" s="1"/>
  <c r="B67" i="8"/>
  <c r="C67" i="8" s="1"/>
  <c r="D67" i="8" s="1"/>
  <c r="H67" i="8" s="1"/>
  <c r="B68" i="8"/>
  <c r="C68" i="8" s="1"/>
  <c r="D68" i="8" s="1"/>
  <c r="H68" i="8" s="1"/>
  <c r="B69" i="8"/>
  <c r="C69" i="8" s="1"/>
  <c r="D69" i="8" s="1"/>
  <c r="H69" i="8" s="1"/>
  <c r="B70" i="8"/>
  <c r="C70" i="8" s="1"/>
  <c r="D70" i="8" s="1"/>
  <c r="H70" i="8" s="1"/>
  <c r="B71" i="8"/>
  <c r="C71" i="8" s="1"/>
  <c r="D71" i="8" s="1"/>
  <c r="H71" i="8" s="1"/>
  <c r="B72" i="8"/>
  <c r="C72" i="8" s="1"/>
  <c r="D72" i="8" s="1"/>
  <c r="H72" i="8" s="1"/>
  <c r="B73" i="8"/>
  <c r="C73" i="8" s="1"/>
  <c r="D73" i="8" s="1"/>
  <c r="H73" i="8" s="1"/>
  <c r="B74" i="8"/>
  <c r="C74" i="8" s="1"/>
  <c r="D74" i="8" s="1"/>
  <c r="H74" i="8" s="1"/>
  <c r="B75" i="8"/>
  <c r="C75" i="8" s="1"/>
  <c r="D75" i="8" s="1"/>
  <c r="H75" i="8" s="1"/>
  <c r="B76" i="8"/>
  <c r="C76" i="8" s="1"/>
  <c r="D76" i="8" s="1"/>
  <c r="H76" i="8" s="1"/>
  <c r="B77" i="8"/>
  <c r="C77" i="8" s="1"/>
  <c r="D77" i="8" s="1"/>
  <c r="H77" i="8" s="1"/>
  <c r="B78" i="8"/>
  <c r="C78" i="8" s="1"/>
  <c r="D78" i="8" s="1"/>
  <c r="H78" i="8" s="1"/>
  <c r="E5" i="11"/>
  <c r="E6" i="11"/>
  <c r="E7" i="11"/>
  <c r="E8" i="11"/>
  <c r="E9" i="11"/>
  <c r="E10" i="11"/>
  <c r="E11" i="11"/>
  <c r="E4" i="11"/>
  <c r="D5" i="11"/>
  <c r="D6" i="11"/>
  <c r="D7" i="11"/>
  <c r="D8" i="11"/>
  <c r="D9" i="11"/>
  <c r="D10" i="11"/>
  <c r="D11" i="11"/>
  <c r="D4" i="11"/>
  <c r="C5" i="11"/>
  <c r="C6" i="11"/>
  <c r="C7" i="11"/>
  <c r="C8" i="11"/>
  <c r="C9" i="11"/>
  <c r="C10" i="11"/>
  <c r="C11" i="11"/>
  <c r="C4" i="11"/>
  <c r="B5" i="11"/>
  <c r="B6" i="11"/>
  <c r="B7" i="11"/>
  <c r="B8" i="11"/>
  <c r="B9" i="11"/>
  <c r="B10" i="11"/>
  <c r="B11" i="11"/>
  <c r="B4" i="11"/>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84" i="6" l="1"/>
  <c r="G76" i="6"/>
  <c r="G68" i="6"/>
  <c r="G60" i="6"/>
  <c r="G52" i="6"/>
  <c r="G44" i="6"/>
  <c r="G36" i="6"/>
  <c r="G28" i="6"/>
  <c r="G20" i="6"/>
  <c r="G12" i="6"/>
  <c r="G91" i="6"/>
  <c r="G83" i="6"/>
  <c r="G75" i="6"/>
  <c r="G67" i="6"/>
  <c r="G59" i="6"/>
  <c r="G51" i="6"/>
  <c r="G43" i="6"/>
  <c r="G35" i="6"/>
  <c r="G27" i="6"/>
  <c r="G19" i="6"/>
  <c r="G11" i="6"/>
  <c r="G90" i="6"/>
  <c r="G82" i="6"/>
  <c r="G74" i="6"/>
  <c r="G66" i="6"/>
  <c r="G58" i="6"/>
  <c r="G50" i="6"/>
  <c r="G42" i="6"/>
  <c r="G34" i="6"/>
  <c r="G26" i="6"/>
  <c r="G18" i="6"/>
  <c r="G10" i="6"/>
  <c r="G89" i="6"/>
  <c r="G81" i="6"/>
  <c r="G73" i="6"/>
  <c r="G65" i="6"/>
  <c r="G57" i="6"/>
  <c r="G49" i="6"/>
  <c r="G41" i="6"/>
  <c r="G33" i="6"/>
  <c r="G25" i="6"/>
  <c r="G17" i="6"/>
  <c r="G9" i="6"/>
  <c r="G88" i="6"/>
  <c r="G80" i="6"/>
  <c r="G72" i="6"/>
  <c r="G64" i="6"/>
  <c r="G56" i="6"/>
  <c r="G48" i="6"/>
  <c r="G40" i="6"/>
  <c r="G32" i="6"/>
  <c r="G24" i="6"/>
  <c r="G16" i="6"/>
  <c r="G8" i="6"/>
  <c r="G87" i="6"/>
  <c r="G79" i="6"/>
  <c r="G71" i="6"/>
  <c r="G63" i="6"/>
  <c r="G55" i="6"/>
  <c r="G47" i="6"/>
  <c r="G39" i="6"/>
  <c r="G31" i="6"/>
  <c r="G23" i="6"/>
  <c r="G15" i="6"/>
  <c r="G7" i="6"/>
  <c r="G86" i="6"/>
  <c r="G78" i="6"/>
  <c r="G70" i="6"/>
  <c r="G62" i="6"/>
  <c r="G54" i="6"/>
  <c r="G46" i="6"/>
  <c r="G38" i="6"/>
  <c r="G30" i="6"/>
  <c r="G22" i="6"/>
  <c r="G14" i="6"/>
  <c r="G6" i="6"/>
  <c r="G85" i="6"/>
  <c r="G77" i="6"/>
  <c r="G69" i="6"/>
  <c r="G61" i="6"/>
  <c r="G53" i="6"/>
  <c r="G45" i="6"/>
  <c r="G37" i="6"/>
  <c r="G29" i="6"/>
  <c r="G21" i="6"/>
  <c r="G13" i="6"/>
  <c r="G5" i="6"/>
  <c r="G4" i="6"/>
  <c r="F84" i="6"/>
  <c r="H84" i="6" s="1"/>
  <c r="I84" i="6" s="1"/>
  <c r="F76" i="6"/>
  <c r="F68" i="6"/>
  <c r="F60" i="6"/>
  <c r="F52" i="6"/>
  <c r="F44" i="6"/>
  <c r="F36" i="6"/>
  <c r="H36" i="6" s="1"/>
  <c r="I36" i="6" s="1"/>
  <c r="F28" i="6"/>
  <c r="F20" i="6"/>
  <c r="H20" i="6" s="1"/>
  <c r="I20" i="6" s="1"/>
  <c r="F12" i="6"/>
  <c r="H12" i="6" s="1"/>
  <c r="I12" i="6" s="1"/>
  <c r="F91" i="6"/>
  <c r="F83" i="6"/>
  <c r="F75" i="6"/>
  <c r="H75" i="6" s="1"/>
  <c r="I75" i="6" s="1"/>
  <c r="F67" i="6"/>
  <c r="H67" i="6" s="1"/>
  <c r="I67" i="6" s="1"/>
  <c r="F59" i="6"/>
  <c r="F51" i="6"/>
  <c r="H51" i="6" s="1"/>
  <c r="I51" i="6" s="1"/>
  <c r="F43" i="6"/>
  <c r="F35" i="6"/>
  <c r="H35" i="6" s="1"/>
  <c r="I35" i="6" s="1"/>
  <c r="F27" i="6"/>
  <c r="F19" i="6"/>
  <c r="H19" i="6" s="1"/>
  <c r="I19" i="6" s="1"/>
  <c r="F11" i="6"/>
  <c r="H11" i="6" s="1"/>
  <c r="I11" i="6" s="1"/>
  <c r="F90" i="6"/>
  <c r="H90" i="6" s="1"/>
  <c r="I90" i="6" s="1"/>
  <c r="F82" i="6"/>
  <c r="F74" i="6"/>
  <c r="H74" i="6" s="1"/>
  <c r="I74" i="6" s="1"/>
  <c r="F66" i="6"/>
  <c r="F58" i="6"/>
  <c r="F50" i="6"/>
  <c r="F42" i="6"/>
  <c r="F34" i="6"/>
  <c r="H34" i="6" s="1"/>
  <c r="I34" i="6" s="1"/>
  <c r="F26" i="6"/>
  <c r="F18" i="6"/>
  <c r="F10" i="6"/>
  <c r="F89" i="6"/>
  <c r="H89" i="6" s="1"/>
  <c r="I89" i="6" s="1"/>
  <c r="F81" i="6"/>
  <c r="F73" i="6"/>
  <c r="F65" i="6"/>
  <c r="F57" i="6"/>
  <c r="H57" i="6" s="1"/>
  <c r="I57" i="6" s="1"/>
  <c r="F49" i="6"/>
  <c r="F41" i="6"/>
  <c r="H41" i="6" s="1"/>
  <c r="I41" i="6" s="1"/>
  <c r="F33" i="6"/>
  <c r="F25" i="6"/>
  <c r="F17" i="6"/>
  <c r="F9" i="6"/>
  <c r="F88" i="6"/>
  <c r="H88" i="6" s="1"/>
  <c r="I88" i="6" s="1"/>
  <c r="F80" i="6"/>
  <c r="F72" i="6"/>
  <c r="F64" i="6"/>
  <c r="H64" i="6" s="1"/>
  <c r="I64" i="6" s="1"/>
  <c r="F56" i="6"/>
  <c r="H56" i="6" s="1"/>
  <c r="I56" i="6" s="1"/>
  <c r="F48" i="6"/>
  <c r="F40" i="6"/>
  <c r="F32" i="6"/>
  <c r="F24" i="6"/>
  <c r="H24" i="6" s="1"/>
  <c r="I24" i="6" s="1"/>
  <c r="F16" i="6"/>
  <c r="F8" i="6"/>
  <c r="F87" i="6"/>
  <c r="F79" i="6"/>
  <c r="F71" i="6"/>
  <c r="F63" i="6"/>
  <c r="H63" i="6" s="1"/>
  <c r="I63" i="6" s="1"/>
  <c r="F55" i="6"/>
  <c r="H55" i="6" s="1"/>
  <c r="I55" i="6" s="1"/>
  <c r="F47" i="6"/>
  <c r="H47" i="6" s="1"/>
  <c r="I47" i="6" s="1"/>
  <c r="F39" i="6"/>
  <c r="F31" i="6"/>
  <c r="F23" i="6"/>
  <c r="F15" i="6"/>
  <c r="F7" i="6"/>
  <c r="F86" i="6"/>
  <c r="F78" i="6"/>
  <c r="H78" i="6" s="1"/>
  <c r="I78" i="6" s="1"/>
  <c r="F70" i="6"/>
  <c r="F62" i="6"/>
  <c r="F54" i="6"/>
  <c r="F46" i="6"/>
  <c r="F38" i="6"/>
  <c r="F30" i="6"/>
  <c r="F22" i="6"/>
  <c r="F14" i="6"/>
  <c r="F6" i="6"/>
  <c r="H6" i="6" s="1"/>
  <c r="I6" i="6" s="1"/>
  <c r="F85" i="6"/>
  <c r="F77" i="6"/>
  <c r="F69" i="6"/>
  <c r="H69" i="6" s="1"/>
  <c r="I69" i="6" s="1"/>
  <c r="F61" i="6"/>
  <c r="F53" i="6"/>
  <c r="F45" i="6"/>
  <c r="H45" i="6" s="1"/>
  <c r="I45" i="6" s="1"/>
  <c r="F37" i="6"/>
  <c r="F29" i="6"/>
  <c r="H29" i="6" s="1"/>
  <c r="I29" i="6" s="1"/>
  <c r="F21" i="6"/>
  <c r="H21" i="6" s="1"/>
  <c r="I21" i="6" s="1"/>
  <c r="F13" i="6"/>
  <c r="H13" i="6" s="1"/>
  <c r="I13" i="6" s="1"/>
  <c r="F5" i="6"/>
  <c r="F4" i="6"/>
  <c r="E88" i="6"/>
  <c r="E80" i="6"/>
  <c r="H80" i="6" s="1"/>
  <c r="I80" i="6" s="1"/>
  <c r="E72" i="6"/>
  <c r="E64" i="6"/>
  <c r="E56" i="6"/>
  <c r="E48" i="6"/>
  <c r="H48" i="6" s="1"/>
  <c r="I48" i="6" s="1"/>
  <c r="E87" i="6"/>
  <c r="H87" i="6" s="1"/>
  <c r="I87" i="6" s="1"/>
  <c r="E79" i="6"/>
  <c r="H79" i="6" s="1"/>
  <c r="I79" i="6" s="1"/>
  <c r="E71" i="6"/>
  <c r="H71" i="6" s="1"/>
  <c r="I71" i="6" s="1"/>
  <c r="E63" i="6"/>
  <c r="E55" i="6"/>
  <c r="E47" i="6"/>
  <c r="E86" i="6"/>
  <c r="H86" i="6" s="1"/>
  <c r="I86" i="6" s="1"/>
  <c r="E78" i="6"/>
  <c r="E70" i="6"/>
  <c r="E62" i="6"/>
  <c r="H62" i="6" s="1"/>
  <c r="I62" i="6" s="1"/>
  <c r="E54" i="6"/>
  <c r="H54" i="6" s="1"/>
  <c r="I54" i="6" s="1"/>
  <c r="E46" i="6"/>
  <c r="H46" i="6" s="1"/>
  <c r="I46" i="6" s="1"/>
  <c r="E85" i="6"/>
  <c r="H85" i="6" s="1"/>
  <c r="I85" i="6" s="1"/>
  <c r="E77" i="6"/>
  <c r="E69" i="6"/>
  <c r="E61" i="6"/>
  <c r="H61" i="6" s="1"/>
  <c r="I61" i="6" s="1"/>
  <c r="E53" i="6"/>
  <c r="H53" i="6" s="1"/>
  <c r="I53" i="6" s="1"/>
  <c r="E45" i="6"/>
  <c r="E84" i="6"/>
  <c r="E76" i="6"/>
  <c r="H76" i="6" s="1"/>
  <c r="I76" i="6" s="1"/>
  <c r="E68" i="6"/>
  <c r="H68" i="6" s="1"/>
  <c r="I68" i="6" s="1"/>
  <c r="E60" i="6"/>
  <c r="H60" i="6" s="1"/>
  <c r="I60" i="6" s="1"/>
  <c r="E52" i="6"/>
  <c r="H52" i="6" s="1"/>
  <c r="I52" i="6" s="1"/>
  <c r="E44" i="6"/>
  <c r="E91" i="6"/>
  <c r="H91" i="6" s="1"/>
  <c r="I91" i="6" s="1"/>
  <c r="E83" i="6"/>
  <c r="H83" i="6" s="1"/>
  <c r="I83" i="6" s="1"/>
  <c r="E75" i="6"/>
  <c r="E67" i="6"/>
  <c r="E59" i="6"/>
  <c r="H59" i="6" s="1"/>
  <c r="I59" i="6" s="1"/>
  <c r="E51" i="6"/>
  <c r="E43" i="6"/>
  <c r="H43" i="6" s="1"/>
  <c r="I43" i="6" s="1"/>
  <c r="E90" i="6"/>
  <c r="E82" i="6"/>
  <c r="H82" i="6" s="1"/>
  <c r="I82" i="6" s="1"/>
  <c r="E74" i="6"/>
  <c r="E66" i="6"/>
  <c r="H66" i="6" s="1"/>
  <c r="I66" i="6" s="1"/>
  <c r="E58" i="6"/>
  <c r="H58" i="6" s="1"/>
  <c r="I58" i="6" s="1"/>
  <c r="E50" i="6"/>
  <c r="H50" i="6" s="1"/>
  <c r="I50" i="6" s="1"/>
  <c r="E42" i="6"/>
  <c r="H42" i="6" s="1"/>
  <c r="I42" i="6" s="1"/>
  <c r="E89" i="6"/>
  <c r="E81" i="6"/>
  <c r="H81" i="6" s="1"/>
  <c r="I81" i="6" s="1"/>
  <c r="E73" i="6"/>
  <c r="H73" i="6" s="1"/>
  <c r="I73" i="6" s="1"/>
  <c r="E65" i="6"/>
  <c r="H65" i="6" s="1"/>
  <c r="I65" i="6" s="1"/>
  <c r="E57" i="6"/>
  <c r="E49" i="6"/>
  <c r="H49" i="6" s="1"/>
  <c r="I49" i="6" s="1"/>
  <c r="E41" i="6"/>
  <c r="E38" i="6"/>
  <c r="H38" i="6" s="1"/>
  <c r="I38" i="6" s="1"/>
  <c r="E30" i="6"/>
  <c r="H30" i="6" s="1"/>
  <c r="I30" i="6" s="1"/>
  <c r="E37" i="6"/>
  <c r="H37" i="6" s="1"/>
  <c r="I37" i="6" s="1"/>
  <c r="E29" i="6"/>
  <c r="E36" i="6"/>
  <c r="E28" i="6"/>
  <c r="H28" i="6" s="1"/>
  <c r="I28" i="6" s="1"/>
  <c r="E35" i="6"/>
  <c r="E27" i="6"/>
  <c r="H27" i="6" s="1"/>
  <c r="I27" i="6" s="1"/>
  <c r="E34" i="6"/>
  <c r="E26" i="6"/>
  <c r="H26" i="6" s="1"/>
  <c r="I26" i="6" s="1"/>
  <c r="E33" i="6"/>
  <c r="H33" i="6" s="1"/>
  <c r="I33" i="6" s="1"/>
  <c r="E25" i="6"/>
  <c r="H25" i="6" s="1"/>
  <c r="I25" i="6" s="1"/>
  <c r="E40" i="6"/>
  <c r="H40" i="6" s="1"/>
  <c r="I40" i="6" s="1"/>
  <c r="E32" i="6"/>
  <c r="H32" i="6" s="1"/>
  <c r="I32" i="6" s="1"/>
  <c r="E24" i="6"/>
  <c r="E39" i="6"/>
  <c r="E31" i="6"/>
  <c r="H31" i="6" s="1"/>
  <c r="I31" i="6" s="1"/>
  <c r="E23" i="6"/>
  <c r="E20" i="6"/>
  <c r="E12" i="6"/>
  <c r="E19" i="6"/>
  <c r="E11" i="6"/>
  <c r="E18" i="6"/>
  <c r="E10" i="6"/>
  <c r="H10" i="6" s="1"/>
  <c r="I10" i="6" s="1"/>
  <c r="E17" i="6"/>
  <c r="H17" i="6" s="1"/>
  <c r="I17" i="6" s="1"/>
  <c r="E9" i="6"/>
  <c r="H9" i="6" s="1"/>
  <c r="I9" i="6" s="1"/>
  <c r="E16" i="6"/>
  <c r="H16" i="6" s="1"/>
  <c r="I16" i="6" s="1"/>
  <c r="E8" i="6"/>
  <c r="H8" i="6" s="1"/>
  <c r="I8" i="6" s="1"/>
  <c r="E15" i="6"/>
  <c r="H15" i="6" s="1"/>
  <c r="I15" i="6" s="1"/>
  <c r="E7" i="6"/>
  <c r="H7" i="6" s="1"/>
  <c r="I7" i="6" s="1"/>
  <c r="E22" i="6"/>
  <c r="H22" i="6" s="1"/>
  <c r="I22" i="6" s="1"/>
  <c r="E14" i="6"/>
  <c r="H14" i="6" s="1"/>
  <c r="I14" i="6" s="1"/>
  <c r="E6" i="6"/>
  <c r="E21" i="6"/>
  <c r="E13" i="6"/>
  <c r="E5" i="6"/>
  <c r="H5" i="6" s="1"/>
  <c r="I5" i="6" s="1"/>
  <c r="H4" i="8"/>
  <c r="E4" i="6" s="1"/>
  <c r="H70" i="6" l="1"/>
  <c r="I70" i="6" s="1"/>
  <c r="H4" i="6"/>
  <c r="I4" i="6" s="1"/>
  <c r="H39" i="6"/>
  <c r="I39" i="6" s="1"/>
  <c r="H18" i="6"/>
  <c r="I18" i="6" s="1"/>
  <c r="H23" i="6"/>
  <c r="I23" i="6" s="1"/>
  <c r="H44" i="6"/>
  <c r="I44" i="6" s="1"/>
  <c r="H77" i="6"/>
  <c r="I77" i="6" s="1"/>
  <c r="H72" i="6"/>
  <c r="I72" i="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EABB3D-2565-6442-9D2B-93EF40D5C513}" keepAlive="1" name="Query - auction_data" description="Connection to the 'auction_data' query in the workbook." type="5" refreshedVersion="8" background="1" saveData="1">
    <dbPr connection="Provider=Microsoft.Mashup.OleDb.1;Data Source=$Workbook$;Location=auction_data;Extended Properties=&quot;&quot;" command="SELECT * FROM [auction_data]"/>
  </connection>
  <connection id="2" xr16:uid="{D91725C1-87C1-3A4F-90C1-BE83CCB24DBD}" keepAlive="1" name="Query - batting_stats" description="Connection to the 'batting_stats' query in the workbook." type="5" refreshedVersion="8" background="1" saveData="1">
    <dbPr connection="Provider=Microsoft.Mashup.OleDb.1;Data Source=$Workbook$;Location=batting_stats;Extended Properties=&quot;&quot;" command="SELECT * FROM [batting_stats]"/>
  </connection>
  <connection id="3" xr16:uid="{F64B064A-F693-314B-B24E-1F73A916AFA1}" keepAlive="1" name="Query - bowling_stats" description="Connection to the 'bowling_stats' query in the workbook." type="5" refreshedVersion="8" background="1" saveData="1">
    <dbPr connection="Provider=Microsoft.Mashup.OleDb.1;Data Source=$Workbook$;Location=bowling_stats;Extended Properties=&quot;&quot;" command="SELECT * FROM [bowling_stats]"/>
  </connection>
  <connection id="4" xr16:uid="{32B54C2B-B8E8-CA4F-AC7C-A801CE84D445}" keepAlive="1" name="Query - matches" description="Connection to the 'matches' query in the workbook." type="5" refreshedVersion="8" background="1" saveData="1">
    <dbPr connection="Provider=Microsoft.Mashup.OleDb.1;Data Source=$Workbook$;Location=matches;Extended Properties=&quot;&quot;" command="SELECT * FROM [matches]"/>
  </connection>
  <connection id="5" xr16:uid="{00981F46-655C-6943-9B0F-8309DF5979A6}" keepAlive="1" name="Query - players" description="Connection to the 'players' query in the workbook." type="5" refreshedVersion="8" background="1" saveData="1">
    <dbPr connection="Provider=Microsoft.Mashup.OleDb.1;Data Source=$Workbook$;Location=players;Extended Properties=&quot;&quot;" command="SELECT * FROM [players]"/>
  </connection>
</connections>
</file>

<file path=xl/sharedStrings.xml><?xml version="1.0" encoding="utf-8"?>
<sst xmlns="http://schemas.openxmlformats.org/spreadsheetml/2006/main" count="1807" uniqueCount="487">
  <si>
    <t>player_id</t>
  </si>
  <si>
    <t>player_name</t>
  </si>
  <si>
    <t>role</t>
  </si>
  <si>
    <t>nationality</t>
  </si>
  <si>
    <t>P001</t>
  </si>
  <si>
    <t>Rohit Sharma</t>
  </si>
  <si>
    <t>Batsman</t>
  </si>
  <si>
    <t>Indian</t>
  </si>
  <si>
    <t>P002</t>
  </si>
  <si>
    <t>Suryakumar Yadav</t>
  </si>
  <si>
    <t>P003</t>
  </si>
  <si>
    <t>Jasprit Bumrah</t>
  </si>
  <si>
    <t>Bowler</t>
  </si>
  <si>
    <t>P004</t>
  </si>
  <si>
    <t>Hardik Pandya</t>
  </si>
  <si>
    <t>All-rounder</t>
  </si>
  <si>
    <t>P005</t>
  </si>
  <si>
    <t>Ishan Kishan</t>
  </si>
  <si>
    <t>Wicketkeeper</t>
  </si>
  <si>
    <t>P006</t>
  </si>
  <si>
    <t>Tilak Varma</t>
  </si>
  <si>
    <t>P007</t>
  </si>
  <si>
    <t>Tim David</t>
  </si>
  <si>
    <t>Overseas</t>
  </si>
  <si>
    <t>P008</t>
  </si>
  <si>
    <t>Gerald Coetzee</t>
  </si>
  <si>
    <t>P009</t>
  </si>
  <si>
    <t>Piyush Chawla</t>
  </si>
  <si>
    <t>P010</t>
  </si>
  <si>
    <t>Akash Madhwal</t>
  </si>
  <si>
    <t>P011</t>
  </si>
  <si>
    <t>Naman Dhir</t>
  </si>
  <si>
    <t>P012</t>
  </si>
  <si>
    <t>MS Dhoni</t>
  </si>
  <si>
    <t>P013</t>
  </si>
  <si>
    <t>Ruturaj Gaikwad</t>
  </si>
  <si>
    <t>P014</t>
  </si>
  <si>
    <t>Ravindra Jadeja</t>
  </si>
  <si>
    <t>P015</t>
  </si>
  <si>
    <t>Shivam Dube</t>
  </si>
  <si>
    <t>P016</t>
  </si>
  <si>
    <t>Matheesha Pathirana</t>
  </si>
  <si>
    <t>P017</t>
  </si>
  <si>
    <t>Tushar Deshpande</t>
  </si>
  <si>
    <t>P018</t>
  </si>
  <si>
    <t>Deepak Chahar</t>
  </si>
  <si>
    <t>P019</t>
  </si>
  <si>
    <t>Ajinkya Rahane</t>
  </si>
  <si>
    <t>P020</t>
  </si>
  <si>
    <t>Daryl Mitchell</t>
  </si>
  <si>
    <t>P021</t>
  </si>
  <si>
    <t>Maheesh Theekshana</t>
  </si>
  <si>
    <t>P022</t>
  </si>
  <si>
    <t>Sameer Rizvi</t>
  </si>
  <si>
    <t>P023</t>
  </si>
  <si>
    <t>Virat Kohli</t>
  </si>
  <si>
    <t>P024</t>
  </si>
  <si>
    <t>Faf du Plessis</t>
  </si>
  <si>
    <t>P025</t>
  </si>
  <si>
    <t>Glenn Maxwell</t>
  </si>
  <si>
    <t>P026</t>
  </si>
  <si>
    <t>Mohammed Siraj</t>
  </si>
  <si>
    <t>P027</t>
  </si>
  <si>
    <t>Rajat Patidar</t>
  </si>
  <si>
    <t>P028</t>
  </si>
  <si>
    <t>Dinesh Karthik</t>
  </si>
  <si>
    <t>P029</t>
  </si>
  <si>
    <t>Cameron Green</t>
  </si>
  <si>
    <t>P030</t>
  </si>
  <si>
    <t>Anuj Rawat</t>
  </si>
  <si>
    <t>P031</t>
  </si>
  <si>
    <t>Yash Dayal</t>
  </si>
  <si>
    <t>P032</t>
  </si>
  <si>
    <t>Mayank Dagar</t>
  </si>
  <si>
    <t>P033</t>
  </si>
  <si>
    <t>Karn Sharma</t>
  </si>
  <si>
    <t>P034</t>
  </si>
  <si>
    <t>Shreyas Iyer</t>
  </si>
  <si>
    <t>P035</t>
  </si>
  <si>
    <t>Sunil Narine</t>
  </si>
  <si>
    <t>P036</t>
  </si>
  <si>
    <t>Andre Russell</t>
  </si>
  <si>
    <t>P037</t>
  </si>
  <si>
    <t>Rinku Singh</t>
  </si>
  <si>
    <t>P038</t>
  </si>
  <si>
    <t>Mitchell Starc</t>
  </si>
  <si>
    <t>P039</t>
  </si>
  <si>
    <t>Phil Salt</t>
  </si>
  <si>
    <t>P040</t>
  </si>
  <si>
    <t>Venkatesh Iyer</t>
  </si>
  <si>
    <t>P041</t>
  </si>
  <si>
    <t>Varun Chakravarthy</t>
  </si>
  <si>
    <t>P042</t>
  </si>
  <si>
    <t>Harshit Rana</t>
  </si>
  <si>
    <t>P043</t>
  </si>
  <si>
    <t>Ramandeep Singh</t>
  </si>
  <si>
    <t>P044</t>
  </si>
  <si>
    <t>Vaibhav Arora</t>
  </si>
  <si>
    <t>P045</t>
  </si>
  <si>
    <t>Rishabh Pant</t>
  </si>
  <si>
    <t>P046</t>
  </si>
  <si>
    <t>David Warner</t>
  </si>
  <si>
    <t>P047</t>
  </si>
  <si>
    <t>Axar Patel</t>
  </si>
  <si>
    <t>P048</t>
  </si>
  <si>
    <t>Kuldeep Yadav</t>
  </si>
  <si>
    <t>P049</t>
  </si>
  <si>
    <t>Prithvi Shaw</t>
  </si>
  <si>
    <t>P050</t>
  </si>
  <si>
    <t>Jake Fraser-McGurk</t>
  </si>
  <si>
    <t>P051</t>
  </si>
  <si>
    <t>Tristan Stubbs</t>
  </si>
  <si>
    <t>P052</t>
  </si>
  <si>
    <t>Khaleel Ahmed</t>
  </si>
  <si>
    <t>P053</t>
  </si>
  <si>
    <t>Mukesh Kumar</t>
  </si>
  <si>
    <t>P054</t>
  </si>
  <si>
    <t>Ishant Sharma</t>
  </si>
  <si>
    <t>P055</t>
  </si>
  <si>
    <t>Abishek Porel</t>
  </si>
  <si>
    <t>P056</t>
  </si>
  <si>
    <t>Sanju Samson</t>
  </si>
  <si>
    <t>P057</t>
  </si>
  <si>
    <t>Yashasvi Jaiswal</t>
  </si>
  <si>
    <t>P058</t>
  </si>
  <si>
    <t>Jos Buttler</t>
  </si>
  <si>
    <t>P059</t>
  </si>
  <si>
    <t>Riyan Parag</t>
  </si>
  <si>
    <t>P060</t>
  </si>
  <si>
    <t>Yuzvendra Chahal</t>
  </si>
  <si>
    <t>P061</t>
  </si>
  <si>
    <t>Trent Boult</t>
  </si>
  <si>
    <t>P062</t>
  </si>
  <si>
    <t>Ravichandran Ashwin</t>
  </si>
  <si>
    <t>P063</t>
  </si>
  <si>
    <t>Dhruv Jurel</t>
  </si>
  <si>
    <t>P064</t>
  </si>
  <si>
    <t>Avesh Khan</t>
  </si>
  <si>
    <t>P065</t>
  </si>
  <si>
    <t>Shimron Hetmyer</t>
  </si>
  <si>
    <t>P066</t>
  </si>
  <si>
    <t>Sandeep Sharma</t>
  </si>
  <si>
    <t>P067</t>
  </si>
  <si>
    <t>Pat Cummins</t>
  </si>
  <si>
    <t>P068</t>
  </si>
  <si>
    <t>Travis Head</t>
  </si>
  <si>
    <t>P069</t>
  </si>
  <si>
    <t>Abhishek Sharma</t>
  </si>
  <si>
    <t>P070</t>
  </si>
  <si>
    <t>Heinrich Klaasen</t>
  </si>
  <si>
    <t>P071</t>
  </si>
  <si>
    <t>Bhuvneshwar Kumar</t>
  </si>
  <si>
    <t>P072</t>
  </si>
  <si>
    <t>T Natarajan</t>
  </si>
  <si>
    <t>P073</t>
  </si>
  <si>
    <t>Nitish Kumar Reddy</t>
  </si>
  <si>
    <t>P074</t>
  </si>
  <si>
    <t>Shahbaz Ahmed</t>
  </si>
  <si>
    <t>P075</t>
  </si>
  <si>
    <t>Jaydev Unadkat</t>
  </si>
  <si>
    <t>P076</t>
  </si>
  <si>
    <t>Mayank Agarwal</t>
  </si>
  <si>
    <t>P077</t>
  </si>
  <si>
    <t>Abdul Samad</t>
  </si>
  <si>
    <t>P078</t>
  </si>
  <si>
    <t>KL Rahul</t>
  </si>
  <si>
    <t>P079</t>
  </si>
  <si>
    <t>Nicholas Pooran</t>
  </si>
  <si>
    <t>P080</t>
  </si>
  <si>
    <t>Marcus Stoinis</t>
  </si>
  <si>
    <t>P081</t>
  </si>
  <si>
    <t>Ravi Bishnoi</t>
  </si>
  <si>
    <t>P082</t>
  </si>
  <si>
    <t>Quinton de Kock</t>
  </si>
  <si>
    <t>P083</t>
  </si>
  <si>
    <t>Ayush Badoni</t>
  </si>
  <si>
    <t>P084</t>
  </si>
  <si>
    <t>Krunal Pandya</t>
  </si>
  <si>
    <t>P085</t>
  </si>
  <si>
    <t>Naveen-ul-Haq</t>
  </si>
  <si>
    <t>P086</t>
  </si>
  <si>
    <t>Yash Thakur</t>
  </si>
  <si>
    <t>P087</t>
  </si>
  <si>
    <t>Mohsin Khan</t>
  </si>
  <si>
    <t>P088</t>
  </si>
  <si>
    <t>Devdutt Padikkal</t>
  </si>
  <si>
    <t>players</t>
  </si>
  <si>
    <t>match_id</t>
  </si>
  <si>
    <t>season</t>
  </si>
  <si>
    <t>venue</t>
  </si>
  <si>
    <t>winner</t>
  </si>
  <si>
    <t>M001</t>
  </si>
  <si>
    <t>MA Chidambaram Stadium, Chennai</t>
  </si>
  <si>
    <t>Kolkata Knight Riders</t>
  </si>
  <si>
    <t>M002</t>
  </si>
  <si>
    <t>Sawai Mansingh Stadium, Jaipur</t>
  </si>
  <si>
    <t>M003</t>
  </si>
  <si>
    <t>Rajiv Gandhi International Stadium, Hyderabad</t>
  </si>
  <si>
    <t>Lucknow Super Giants</t>
  </si>
  <si>
    <t>M004</t>
  </si>
  <si>
    <t>Arun Jaitley Stadium, Delhi</t>
  </si>
  <si>
    <t>Royal Challengers Bengaluru</t>
  </si>
  <si>
    <t>M005</t>
  </si>
  <si>
    <t>Sunrisers Hyderabad</t>
  </si>
  <si>
    <t>M006</t>
  </si>
  <si>
    <t>Rajasthan Royals</t>
  </si>
  <si>
    <t>M007</t>
  </si>
  <si>
    <t>M. Chinnaswamy Stadium, Bengaluru</t>
  </si>
  <si>
    <t>M008</t>
  </si>
  <si>
    <t>Wankhede Stadium, Mumbai</t>
  </si>
  <si>
    <t>Chennai Super Kings</t>
  </si>
  <si>
    <t>M009</t>
  </si>
  <si>
    <t>M010</t>
  </si>
  <si>
    <t>M011</t>
  </si>
  <si>
    <t>BRSABV Ekana Cricket Stadium, Lucknow</t>
  </si>
  <si>
    <t>Delhi Capitals</t>
  </si>
  <si>
    <t>M012</t>
  </si>
  <si>
    <t>M013</t>
  </si>
  <si>
    <t>M014</t>
  </si>
  <si>
    <t>M015</t>
  </si>
  <si>
    <t>Mumbai Indians</t>
  </si>
  <si>
    <t>M016</t>
  </si>
  <si>
    <t>M017</t>
  </si>
  <si>
    <t>Eden Gardens, Kolkata</t>
  </si>
  <si>
    <t>M018</t>
  </si>
  <si>
    <t>M019</t>
  </si>
  <si>
    <t>M020</t>
  </si>
  <si>
    <t>M021</t>
  </si>
  <si>
    <t>M022</t>
  </si>
  <si>
    <t>M023</t>
  </si>
  <si>
    <t>M024</t>
  </si>
  <si>
    <t>M025</t>
  </si>
  <si>
    <t>M026</t>
  </si>
  <si>
    <t>M027</t>
  </si>
  <si>
    <t>M028</t>
  </si>
  <si>
    <t>M029</t>
  </si>
  <si>
    <t>M030</t>
  </si>
  <si>
    <t>M031</t>
  </si>
  <si>
    <t>M032</t>
  </si>
  <si>
    <t>M033</t>
  </si>
  <si>
    <t>M034</t>
  </si>
  <si>
    <t>M035</t>
  </si>
  <si>
    <t>M036</t>
  </si>
  <si>
    <t>M037</t>
  </si>
  <si>
    <t>M038</t>
  </si>
  <si>
    <t>M039</t>
  </si>
  <si>
    <t>M040</t>
  </si>
  <si>
    <t>M041</t>
  </si>
  <si>
    <t>M042</t>
  </si>
  <si>
    <t>M043</t>
  </si>
  <si>
    <t>M044</t>
  </si>
  <si>
    <t>M045</t>
  </si>
  <si>
    <t>M046</t>
  </si>
  <si>
    <t>M047</t>
  </si>
  <si>
    <t>M048</t>
  </si>
  <si>
    <t>M049</t>
  </si>
  <si>
    <t>M050</t>
  </si>
  <si>
    <t>M051</t>
  </si>
  <si>
    <t>M052</t>
  </si>
  <si>
    <t>M053</t>
  </si>
  <si>
    <t>M054</t>
  </si>
  <si>
    <t>M055</t>
  </si>
  <si>
    <t>M056</t>
  </si>
  <si>
    <t>M057</t>
  </si>
  <si>
    <t>M058</t>
  </si>
  <si>
    <t>M059</t>
  </si>
  <si>
    <t>M060</t>
  </si>
  <si>
    <t>M061</t>
  </si>
  <si>
    <t>M062</t>
  </si>
  <si>
    <t>M063</t>
  </si>
  <si>
    <t>M064</t>
  </si>
  <si>
    <t>M065</t>
  </si>
  <si>
    <t>M066</t>
  </si>
  <si>
    <t>M067</t>
  </si>
  <si>
    <t>M068</t>
  </si>
  <si>
    <t>M069</t>
  </si>
  <si>
    <t>M070</t>
  </si>
  <si>
    <t>M071</t>
  </si>
  <si>
    <t>M072</t>
  </si>
  <si>
    <t>M073</t>
  </si>
  <si>
    <t>M074</t>
  </si>
  <si>
    <t>M075</t>
  </si>
  <si>
    <t>M076</t>
  </si>
  <si>
    <t>M077</t>
  </si>
  <si>
    <t>M078</t>
  </si>
  <si>
    <t>M079</t>
  </si>
  <si>
    <t>M080</t>
  </si>
  <si>
    <t>M081</t>
  </si>
  <si>
    <t>M082</t>
  </si>
  <si>
    <t>M083</t>
  </si>
  <si>
    <t>M084</t>
  </si>
  <si>
    <t>M085</t>
  </si>
  <si>
    <t>M086</t>
  </si>
  <si>
    <t>M087</t>
  </si>
  <si>
    <t>M088</t>
  </si>
  <si>
    <t>M089</t>
  </si>
  <si>
    <t>M090</t>
  </si>
  <si>
    <t>M091</t>
  </si>
  <si>
    <t>M092</t>
  </si>
  <si>
    <t>M093</t>
  </si>
  <si>
    <t>M094</t>
  </si>
  <si>
    <t>M095</t>
  </si>
  <si>
    <t>M096</t>
  </si>
  <si>
    <t>M097</t>
  </si>
  <si>
    <t>M098</t>
  </si>
  <si>
    <t>M099</t>
  </si>
  <si>
    <t>M100</t>
  </si>
  <si>
    <t>M101</t>
  </si>
  <si>
    <t>M102</t>
  </si>
  <si>
    <t>M103</t>
  </si>
  <si>
    <t>M104</t>
  </si>
  <si>
    <t>M105</t>
  </si>
  <si>
    <t>M106</t>
  </si>
  <si>
    <t>M107</t>
  </si>
  <si>
    <t>M108</t>
  </si>
  <si>
    <t>M109</t>
  </si>
  <si>
    <t>M110</t>
  </si>
  <si>
    <t>M111</t>
  </si>
  <si>
    <t>M112</t>
  </si>
  <si>
    <t>M113</t>
  </si>
  <si>
    <t>M114</t>
  </si>
  <si>
    <t>M115</t>
  </si>
  <si>
    <t>M116</t>
  </si>
  <si>
    <t>M117</t>
  </si>
  <si>
    <t>M118</t>
  </si>
  <si>
    <t>M119</t>
  </si>
  <si>
    <t>M120</t>
  </si>
  <si>
    <t>M121</t>
  </si>
  <si>
    <t>M122</t>
  </si>
  <si>
    <t>M123</t>
  </si>
  <si>
    <t>M124</t>
  </si>
  <si>
    <t>M125</t>
  </si>
  <si>
    <t>M126</t>
  </si>
  <si>
    <t>M127</t>
  </si>
  <si>
    <t>M128</t>
  </si>
  <si>
    <t>M129</t>
  </si>
  <si>
    <t>M130</t>
  </si>
  <si>
    <t>M131</t>
  </si>
  <si>
    <t>M132</t>
  </si>
  <si>
    <t>M133</t>
  </si>
  <si>
    <t>M134</t>
  </si>
  <si>
    <t>M135</t>
  </si>
  <si>
    <t>M136</t>
  </si>
  <si>
    <t>M137</t>
  </si>
  <si>
    <t>M138</t>
  </si>
  <si>
    <t>M139</t>
  </si>
  <si>
    <t>M140</t>
  </si>
  <si>
    <t>M141</t>
  </si>
  <si>
    <t>M142</t>
  </si>
  <si>
    <t>M143</t>
  </si>
  <si>
    <t>M144</t>
  </si>
  <si>
    <t>M145</t>
  </si>
  <si>
    <t>M146</t>
  </si>
  <si>
    <t>M147</t>
  </si>
  <si>
    <t>M148</t>
  </si>
  <si>
    <t>M149</t>
  </si>
  <si>
    <t>M150</t>
  </si>
  <si>
    <t>M151</t>
  </si>
  <si>
    <t>M152</t>
  </si>
  <si>
    <t>M153</t>
  </si>
  <si>
    <t>M154</t>
  </si>
  <si>
    <t>M155</t>
  </si>
  <si>
    <t>M156</t>
  </si>
  <si>
    <t>M157</t>
  </si>
  <si>
    <t>M158</t>
  </si>
  <si>
    <t>M159</t>
  </si>
  <si>
    <t>M160</t>
  </si>
  <si>
    <t>M161</t>
  </si>
  <si>
    <t>M162</t>
  </si>
  <si>
    <t>M163</t>
  </si>
  <si>
    <t>M164</t>
  </si>
  <si>
    <t>M165</t>
  </si>
  <si>
    <t>M166</t>
  </si>
  <si>
    <t>M167</t>
  </si>
  <si>
    <t>M168</t>
  </si>
  <si>
    <t>M169</t>
  </si>
  <si>
    <t>M170</t>
  </si>
  <si>
    <t>M171</t>
  </si>
  <si>
    <t>M172</t>
  </si>
  <si>
    <t>M173</t>
  </si>
  <si>
    <t>M174</t>
  </si>
  <si>
    <t>M175</t>
  </si>
  <si>
    <t>M176</t>
  </si>
  <si>
    <t>M177</t>
  </si>
  <si>
    <t>M178</t>
  </si>
  <si>
    <t>M179</t>
  </si>
  <si>
    <t>M180</t>
  </si>
  <si>
    <t>M181</t>
  </si>
  <si>
    <t>M182</t>
  </si>
  <si>
    <t>M183</t>
  </si>
  <si>
    <t>M184</t>
  </si>
  <si>
    <t>M185</t>
  </si>
  <si>
    <t>M186</t>
  </si>
  <si>
    <t>M187</t>
  </si>
  <si>
    <t>M188</t>
  </si>
  <si>
    <t>M189</t>
  </si>
  <si>
    <t>M190</t>
  </si>
  <si>
    <t>M191</t>
  </si>
  <si>
    <t>M192</t>
  </si>
  <si>
    <t>M193</t>
  </si>
  <si>
    <t>M194</t>
  </si>
  <si>
    <t>M195</t>
  </si>
  <si>
    <t>M196</t>
  </si>
  <si>
    <t>M197</t>
  </si>
  <si>
    <t>M198</t>
  </si>
  <si>
    <t>M199</t>
  </si>
  <si>
    <t>M200</t>
  </si>
  <si>
    <t>M201</t>
  </si>
  <si>
    <t>M202</t>
  </si>
  <si>
    <t>M203</t>
  </si>
  <si>
    <t>M204</t>
  </si>
  <si>
    <t>M205</t>
  </si>
  <si>
    <t>M206</t>
  </si>
  <si>
    <t>M207</t>
  </si>
  <si>
    <t>M208</t>
  </si>
  <si>
    <t>M209</t>
  </si>
  <si>
    <t>M210</t>
  </si>
  <si>
    <t>M211</t>
  </si>
  <si>
    <t>M212</t>
  </si>
  <si>
    <t>M213</t>
  </si>
  <si>
    <t>M214</t>
  </si>
  <si>
    <t>M215</t>
  </si>
  <si>
    <t>M216</t>
  </si>
  <si>
    <t>M217</t>
  </si>
  <si>
    <t>M218</t>
  </si>
  <si>
    <t>M219</t>
  </si>
  <si>
    <t>M220</t>
  </si>
  <si>
    <t>M221</t>
  </si>
  <si>
    <t>M222</t>
  </si>
  <si>
    <t>M223</t>
  </si>
  <si>
    <t>M224</t>
  </si>
  <si>
    <t>M225</t>
  </si>
  <si>
    <t>M226</t>
  </si>
  <si>
    <t>M227</t>
  </si>
  <si>
    <t>M228</t>
  </si>
  <si>
    <t>M229</t>
  </si>
  <si>
    <t>M230</t>
  </si>
  <si>
    <t>M231</t>
  </si>
  <si>
    <t>M232</t>
  </si>
  <si>
    <t>M233</t>
  </si>
  <si>
    <t>M234</t>
  </si>
  <si>
    <t>M235</t>
  </si>
  <si>
    <t>M236</t>
  </si>
  <si>
    <t>M237</t>
  </si>
  <si>
    <t>M238</t>
  </si>
  <si>
    <t>M239</t>
  </si>
  <si>
    <t>M240</t>
  </si>
  <si>
    <t>M241</t>
  </si>
  <si>
    <t>M242</t>
  </si>
  <si>
    <t>M243</t>
  </si>
  <si>
    <t>M244</t>
  </si>
  <si>
    <t>M245</t>
  </si>
  <si>
    <t>M246</t>
  </si>
  <si>
    <t>M247</t>
  </si>
  <si>
    <t>M248</t>
  </si>
  <si>
    <t>M249</t>
  </si>
  <si>
    <t>M250</t>
  </si>
  <si>
    <t>runs</t>
  </si>
  <si>
    <t>balls</t>
  </si>
  <si>
    <t>fours</t>
  </si>
  <si>
    <t>sixes</t>
  </si>
  <si>
    <t>wickets</t>
  </si>
  <si>
    <t>overs</t>
  </si>
  <si>
    <t>runs_conceded</t>
  </si>
  <si>
    <t>team</t>
  </si>
  <si>
    <t>auction_price</t>
  </si>
  <si>
    <t>MATCHES</t>
  </si>
  <si>
    <t>BATTING STATS</t>
  </si>
  <si>
    <t>BOWLING STATS</t>
  </si>
  <si>
    <t>AUCTION DATA</t>
  </si>
  <si>
    <t>Strike rate</t>
  </si>
  <si>
    <t>Economy</t>
  </si>
  <si>
    <t>Batting avg</t>
  </si>
  <si>
    <t>matches played</t>
  </si>
  <si>
    <t>teams</t>
  </si>
  <si>
    <t>Opponent</t>
  </si>
  <si>
    <t>win</t>
  </si>
  <si>
    <t>loose</t>
  </si>
  <si>
    <t>matches_played</t>
  </si>
  <si>
    <t>Avg wickets/match</t>
  </si>
  <si>
    <t>overall</t>
  </si>
  <si>
    <t>Avg Wicket/match</t>
  </si>
  <si>
    <t>Row Labels</t>
  </si>
  <si>
    <t>Grand Total</t>
  </si>
  <si>
    <t>Rating</t>
  </si>
  <si>
    <t>Sum of Rating</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</si>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</sst>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0.00"/>
  </numFmts>
  <fonts count="10" x14ac:knownFonts="1">
    <font>
      <sz val="12"/>
      <color theme="1"/>
      <name val="Aptos Narrow"/>
      <family val="2"/>
      <scheme val="minor"/>
    </font>
    <font>
      <b/>
      <sz val="12"/>
      <color theme="1"/>
      <name val="Aptos Narrow"/>
      <family val="2"/>
      <scheme val="minor"/>
    </font>
    <font>
      <b/>
      <sz val="12"/>
      <color theme="1"/>
      <name val="Aptos Narrow"/>
      <scheme val="minor"/>
    </font>
    <font>
      <b/>
      <sz val="14"/>
      <color theme="1"/>
      <name val="Aptos Narrow"/>
      <scheme val="minor"/>
    </font>
    <font>
      <b/>
      <sz val="14"/>
      <color theme="1"/>
      <name val="Aptos Narrow"/>
      <family val="2"/>
      <scheme val="minor"/>
    </font>
    <font>
      <sz val="12"/>
      <color rgb="FF934F6B"/>
      <name val="Aptos Narrow"/>
      <family val="2"/>
      <scheme val="minor"/>
    </font>
    <font>
      <sz val="12"/>
      <color theme="5" tint="-0.249977111117893"/>
      <name val="Aptos Narrow"/>
      <family val="2"/>
      <scheme val="minor"/>
    </font>
    <font>
      <b/>
      <sz val="22"/>
      <color theme="0"/>
      <name val="Aptos Narrow"/>
      <scheme val="minor"/>
    </font>
    <font>
      <b/>
      <sz val="20"/>
      <color theme="0"/>
      <name val="Aptos Narrow"/>
      <scheme val="minor"/>
    </font>
    <font>
      <sz val="12"/>
      <color rgb="FF000000"/>
      <name val="Arial"/>
      <family val="2"/>
    </font>
  </fonts>
  <fills count="3">
    <fill>
      <patternFill patternType="none"/>
    </fill>
    <fill>
      <patternFill patternType="gray125"/>
    </fill>
    <fill>
      <patternFill patternType="solid">
        <fgColor theme="2" tint="-0.49998474074526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4">
    <xf numFmtId="0" fontId="0" fillId="0" borderId="0" xfId="0"/>
    <xf numFmtId="0" fontId="0" fillId="0" borderId="5" xfId="0" applyBorder="1" applyAlignment="1">
      <alignment horizontal="center" vertical="center"/>
    </xf>
    <xf numFmtId="0" fontId="0" fillId="0" borderId="1"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5" fillId="0" borderId="0" xfId="0" applyFont="1"/>
    <xf numFmtId="0" fontId="6" fillId="0" borderId="0" xfId="0" applyFont="1"/>
    <xf numFmtId="0" fontId="7" fillId="2" borderId="0" xfId="0" applyFont="1" applyFill="1" applyAlignment="1">
      <alignment horizontal="center" vertical="center"/>
    </xf>
    <xf numFmtId="0" fontId="8" fillId="2" borderId="0" xfId="0" applyFont="1" applyFill="1" applyAlignment="1">
      <alignment horizontal="center" vertical="center"/>
    </xf>
    <xf numFmtId="0" fontId="3" fillId="0" borderId="0" xfId="0" applyFont="1" applyAlignment="1">
      <alignment horizontal="center" vertical="center"/>
    </xf>
    <xf numFmtId="166" fontId="0" fillId="0" borderId="0" xfId="0" applyNumberFormat="1" applyAlignment="1">
      <alignment horizontal="center" vertical="center"/>
    </xf>
    <xf numFmtId="0" fontId="4" fillId="0" borderId="0" xfId="0" applyFont="1" applyAlignment="1">
      <alignment horizontal="center" vertical="center"/>
    </xf>
    <xf numFmtId="2" fontId="0" fillId="0" borderId="1" xfId="0" applyNumberFormat="1" applyBorder="1" applyAlignment="1">
      <alignment horizontal="center" vertical="center"/>
    </xf>
    <xf numFmtId="2" fontId="0" fillId="0" borderId="0" xfId="0" applyNumberFormat="1" applyAlignment="1">
      <alignment horizontal="center" vertical="center"/>
    </xf>
    <xf numFmtId="0" fontId="7" fillId="2" borderId="1" xfId="0" applyFont="1" applyFill="1" applyBorder="1" applyAlignment="1">
      <alignment horizontal="center" vertical="center"/>
    </xf>
    <xf numFmtId="0" fontId="3" fillId="0" borderId="1" xfId="0" applyFont="1" applyBorder="1" applyAlignment="1">
      <alignment horizontal="center" vertical="center"/>
    </xf>
    <xf numFmtId="0" fontId="9" fillId="0" borderId="0" xfId="0" applyFont="1"/>
    <xf numFmtId="0" fontId="1" fillId="0" borderId="0" xfId="0" applyFont="1" applyAlignment="1">
      <alignment horizontal="center" vertical="center"/>
    </xf>
    <xf numFmtId="1" fontId="0" fillId="0" borderId="0" xfId="0" applyNumberFormat="1" applyAlignment="1">
      <alignment horizontal="center" vertical="center"/>
    </xf>
    <xf numFmtId="0" fontId="4" fillId="0" borderId="4" xfId="0" applyFont="1" applyBorder="1" applyAlignment="1">
      <alignment horizontal="center" vertical="center"/>
    </xf>
    <xf numFmtId="2" fontId="0" fillId="0" borderId="6" xfId="0" applyNumberFormat="1" applyBorder="1" applyAlignment="1">
      <alignment horizontal="center" vertical="center"/>
    </xf>
    <xf numFmtId="1" fontId="0" fillId="0" borderId="6" xfId="0" applyNumberFormat="1" applyBorder="1" applyAlignment="1">
      <alignment horizontal="center" vertical="center"/>
    </xf>
    <xf numFmtId="166" fontId="0" fillId="0" borderId="6" xfId="0" applyNumberFormat="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cellXfs>
  <cellStyles count="1">
    <cellStyle name="Normal" xfId="0" builtinId="0"/>
  </cellStyles>
  <dxfs count="60">
    <dxf>
      <numFmt numFmtId="1" formatCode="0"/>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top style="thin">
          <color indexed="64"/>
        </top>
        <bottom/>
      </border>
    </dxf>
    <dxf>
      <font>
        <b/>
        <i val="0"/>
        <strike val="0"/>
        <condense val="0"/>
        <extend val="0"/>
        <outline val="0"/>
        <shadow val="0"/>
        <u val="none"/>
        <vertAlign val="baseline"/>
        <sz val="14"/>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border outline="0">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outline="0">
        <left style="thin">
          <color indexed="64"/>
        </left>
        <right/>
        <top style="thin">
          <color indexed="64"/>
        </top>
        <bottom/>
      </border>
    </dxf>
    <dxf>
      <alignment horizontal="center" vertical="center" textRotation="0" wrapText="0" indent="0" justifyLastLine="0" shrinkToFit="0" readingOrder="0"/>
      <border diagonalUp="0" diagonalDown="0" outline="0">
        <left style="thin">
          <color indexed="64"/>
        </left>
        <right/>
        <top style="thin">
          <color indexed="64"/>
        </top>
        <bottom/>
      </border>
    </dxf>
    <dxf>
      <alignment horizontal="center" vertical="center" textRotation="0" wrapText="0" indent="0" justifyLastLine="0" shrinkToFit="0" readingOrder="0"/>
      <border diagonalUp="0" diagonalDown="0" outline="0">
        <left style="thin">
          <color indexed="64"/>
        </left>
        <right/>
        <top style="thin">
          <color indexed="64"/>
        </top>
        <bottom/>
      </border>
    </dxf>
    <dxf>
      <alignment horizontal="center" vertical="center" textRotation="0" wrapText="0" indent="0" justifyLastLine="0" shrinkToFit="0" readingOrder="0"/>
      <border diagonalUp="0" diagonalDown="0" outline="0">
        <left style="thin">
          <color indexed="64"/>
        </left>
        <right/>
        <top style="thin">
          <color indexed="64"/>
        </top>
        <bottom/>
      </border>
    </dxf>
    <dxf>
      <alignment horizontal="center" vertical="center" textRotation="0" wrapText="0" indent="0" justifyLastLine="0" shrinkToFit="0" readingOrder="0"/>
      <border diagonalUp="0" diagonalDown="0" outline="0">
        <left style="thin">
          <color indexed="64"/>
        </left>
        <right/>
        <top style="thin">
          <color indexed="64"/>
        </top>
        <bottom/>
      </border>
    </dxf>
    <dxf>
      <alignment horizontal="center" vertical="center" textRotation="0" wrapText="0" indent="0" justifyLastLine="0" shrinkToFit="0" readingOrder="0"/>
      <border diagonalUp="0" diagonalDown="0" outline="0">
        <left style="thin">
          <color indexed="64"/>
        </left>
        <right/>
        <top style="thin">
          <color indexed="64"/>
        </top>
        <bottom/>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dxf>
    <dxf>
      <numFmt numFmtId="2" formatCode="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color rgb="FF000000"/>
        <name val="Arial"/>
        <family val="2"/>
        <scheme val="none"/>
      </font>
      <alignment horizontal="center" vertical="center" textRotation="0" wrapText="0" indent="0" justifyLastLine="0" shrinkToFit="0" readingOrder="0"/>
    </dxf>
    <dxf>
      <numFmt numFmtId="2" formatCode="0.00"/>
      <alignment horizontal="center" vertical="center" textRotation="0" wrapText="0" indent="0" justifyLastLine="0" shrinkToFit="0" readingOrder="0"/>
    </dxf>
    <dxf>
      <alignment horizontal="center" vertical="center" textRotation="0" wrapText="0" indent="0" justifyLastLine="0" shrinkToFit="0" readingOrder="0"/>
    </dxf>
    <dxf>
      <numFmt numFmtId="2" formatCode="0.0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quot;₹&quot;#,##0.00"/>
      <alignment horizontal="center" vertical="center" textRotation="0" wrapText="0" indent="0" justifyLastLine="0" shrinkToFit="0" readingOrder="0"/>
    </dxf>
    <dxf>
      <alignment horizontal="center" vertical="center" textRotation="0" wrapText="0" indent="0" justifyLastLine="0" shrinkToFit="0" readingOrder="0"/>
    </dxf>
    <dxf>
      <font>
        <b/>
        <strike val="0"/>
        <outline val="0"/>
        <shadow val="0"/>
        <u val="none"/>
        <vertAlign val="baseline"/>
        <sz val="14"/>
        <color theme="1"/>
        <name val="Aptos Narrow"/>
        <family val="2"/>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strike val="0"/>
        <outline val="0"/>
        <shadow val="0"/>
        <u val="none"/>
        <vertAlign val="baseline"/>
        <sz val="14"/>
        <color theme="1"/>
        <name val="Aptos Narrow"/>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strike val="0"/>
        <outline val="0"/>
        <shadow val="0"/>
        <u val="none"/>
        <vertAlign val="baseline"/>
        <sz val="14"/>
        <color theme="1"/>
        <name val="Aptos Narrow"/>
        <scheme val="minor"/>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font>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colors>
    <mruColors>
      <color rgb="FFDE46BB"/>
      <color rgb="FF934F6B"/>
      <color rgb="FFCC42AA"/>
      <color rgb="FFC03A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5</xdr:col>
      <xdr:colOff>495300</xdr:colOff>
      <xdr:row>12</xdr:row>
      <xdr:rowOff>76200</xdr:rowOff>
    </xdr:from>
    <xdr:to>
      <xdr:col>7</xdr:col>
      <xdr:colOff>304800</xdr:colOff>
      <xdr:row>25</xdr:row>
      <xdr:rowOff>53972</xdr:rowOff>
    </xdr:to>
    <mc:AlternateContent xmlns:mc="http://schemas.openxmlformats.org/markup-compatibility/2006">
      <mc:Choice xmlns:a14="http://schemas.microsoft.com/office/drawing/2010/main" Requires="a14">
        <xdr:graphicFrame macro="">
          <xdr:nvGraphicFramePr>
            <xdr:cNvPr id="2" name="role">
              <a:extLst>
                <a:ext uri="{FF2B5EF4-FFF2-40B4-BE49-F238E27FC236}">
                  <a16:creationId xmlns:a16="http://schemas.microsoft.com/office/drawing/2014/main" id="{7AE18370-F232-BE57-F54D-3F325B66D037}"/>
                </a:ext>
              </a:extLst>
            </xdr:cNvPr>
            <xdr:cNvGraphicFramePr/>
          </xdr:nvGraphicFramePr>
          <xdr:xfrm>
            <a:off x="0" y="0"/>
            <a:ext cx="0" cy="0"/>
          </xdr:xfrm>
          <a:graphic>
            <a:graphicData uri="http://schemas.microsoft.com/office/drawing/2010/slicer">
              <sle:slicer xmlns:sle="http://schemas.microsoft.com/office/drawing/2010/slicer" name="role"/>
            </a:graphicData>
          </a:graphic>
        </xdr:graphicFrame>
      </mc:Choice>
      <mc:Fallback>
        <xdr:sp macro="" textlink="">
          <xdr:nvSpPr>
            <xdr:cNvPr id="0" name=""/>
            <xdr:cNvSpPr>
              <a:spLocks noTextEdit="1"/>
            </xdr:cNvSpPr>
          </xdr:nvSpPr>
          <xdr:spPr>
            <a:xfrm>
              <a:off x="6311900" y="25146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444500</xdr:colOff>
      <xdr:row>12</xdr:row>
      <xdr:rowOff>127000</xdr:rowOff>
    </xdr:from>
    <xdr:to>
      <xdr:col>5</xdr:col>
      <xdr:colOff>279400</xdr:colOff>
      <xdr:row>25</xdr:row>
      <xdr:rowOff>104772</xdr:rowOff>
    </xdr:to>
    <mc:AlternateContent xmlns:mc="http://schemas.openxmlformats.org/markup-compatibility/2006">
      <mc:Choice xmlns:a14="http://schemas.microsoft.com/office/drawing/2010/main" Requires="a14">
        <xdr:graphicFrame macro="">
          <xdr:nvGraphicFramePr>
            <xdr:cNvPr id="3" name="overall">
              <a:extLst>
                <a:ext uri="{FF2B5EF4-FFF2-40B4-BE49-F238E27FC236}">
                  <a16:creationId xmlns:a16="http://schemas.microsoft.com/office/drawing/2014/main" id="{EA324E0B-33C7-97FA-93FD-12194D6F14F1}"/>
                </a:ext>
              </a:extLst>
            </xdr:cNvPr>
            <xdr:cNvGraphicFramePr/>
          </xdr:nvGraphicFramePr>
          <xdr:xfrm>
            <a:off x="0" y="0"/>
            <a:ext cx="0" cy="0"/>
          </xdr:xfrm>
          <a:graphic>
            <a:graphicData uri="http://schemas.microsoft.com/office/drawing/2010/slicer">
              <sle:slicer xmlns:sle="http://schemas.microsoft.com/office/drawing/2010/slicer" name="overall"/>
            </a:graphicData>
          </a:graphic>
        </xdr:graphicFrame>
      </mc:Choice>
      <mc:Fallback>
        <xdr:sp macro="" textlink="">
          <xdr:nvSpPr>
            <xdr:cNvPr id="0" name=""/>
            <xdr:cNvSpPr>
              <a:spLocks noTextEdit="1"/>
            </xdr:cNvSpPr>
          </xdr:nvSpPr>
          <xdr:spPr>
            <a:xfrm>
              <a:off x="4267200" y="25654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ham Karve" refreshedDate="46177.768309143517" createdVersion="8" refreshedVersion="8" minRefreshableVersion="3" recordCount="88" xr:uid="{B4B35DF3-9D87-9A46-AD22-12E90B16F82D}">
  <cacheSource type="worksheet">
    <worksheetSource name="players"/>
  </cacheSource>
  <cacheFields count="10">
    <cacheField name="player_id" numFmtId="0">
      <sharedItems/>
    </cacheField>
    <cacheField name="player_name" numFmtId="0">
      <sharedItems count="88">
        <s v="Rohit Sharma"/>
        <s v="Suryakumar Yadav"/>
        <s v="Jasprit Bumrah"/>
        <s v="Hardik Pandya"/>
        <s v="Ishan Kishan"/>
        <s v="Tilak Varma"/>
        <s v="Tim David"/>
        <s v="Gerald Coetzee"/>
        <s v="Piyush Chawla"/>
        <s v="Akash Madhwal"/>
        <s v="Naman Dhir"/>
        <s v="MS Dhoni"/>
        <s v="Ruturaj Gaikwad"/>
        <s v="Ravindra Jadeja"/>
        <s v="Shivam Dube"/>
        <s v="Matheesha Pathirana"/>
        <s v="Tushar Deshpande"/>
        <s v="Deepak Chahar"/>
        <s v="Ajinkya Rahane"/>
        <s v="Daryl Mitchell"/>
        <s v="Maheesh Theekshana"/>
        <s v="Sameer Rizvi"/>
        <s v="Virat Kohli"/>
        <s v="Faf du Plessis"/>
        <s v="Glenn Maxwell"/>
        <s v="Mohammed Siraj"/>
        <s v="Rajat Patidar"/>
        <s v="Dinesh Karthik"/>
        <s v="Cameron Green"/>
        <s v="Anuj Rawat"/>
        <s v="Yash Dayal"/>
        <s v="Mayank Dagar"/>
        <s v="Karn Sharma"/>
        <s v="Shreyas Iyer"/>
        <s v="Sunil Narine"/>
        <s v="Andre Russell"/>
        <s v="Rinku Singh"/>
        <s v="Mitchell Starc"/>
        <s v="Phil Salt"/>
        <s v="Venkatesh Iyer"/>
        <s v="Varun Chakravarthy"/>
        <s v="Harshit Rana"/>
        <s v="Ramandeep Singh"/>
        <s v="Vaibhav Arora"/>
        <s v="Rishabh Pant"/>
        <s v="David Warner"/>
        <s v="Axar Patel"/>
        <s v="Kuldeep Yadav"/>
        <s v="Prithvi Shaw"/>
        <s v="Jake Fraser-McGurk"/>
        <s v="Tristan Stubbs"/>
        <s v="Khaleel Ahmed"/>
        <s v="Mukesh Kumar"/>
        <s v="Ishant Sharma"/>
        <s v="Abishek Porel"/>
        <s v="Sanju Samson"/>
        <s v="Yashasvi Jaiswal"/>
        <s v="Jos Buttler"/>
        <s v="Riyan Parag"/>
        <s v="Yuzvendra Chahal"/>
        <s v="Trent Boult"/>
        <s v="Ravichandran Ashwin"/>
        <s v="Dhruv Jurel"/>
        <s v="Avesh Khan"/>
        <s v="Shimron Hetmyer"/>
        <s v="Sandeep Sharma"/>
        <s v="Pat Cummins"/>
        <s v="Travis Head"/>
        <s v="Abhishek Sharma"/>
        <s v="Heinrich Klaasen"/>
        <s v="Bhuvneshwar Kumar"/>
        <s v="T Natarajan"/>
        <s v="Nitish Kumar Reddy"/>
        <s v="Shahbaz Ahmed"/>
        <s v="Jaydev Unadkat"/>
        <s v="Mayank Agarwal"/>
        <s v="Abdul Samad"/>
        <s v="KL Rahul"/>
        <s v="Nicholas Pooran"/>
        <s v="Marcus Stoinis"/>
        <s v="Ravi Bishnoi"/>
        <s v="Quinton de Kock"/>
        <s v="Ayush Badoni"/>
        <s v="Krunal Pandya"/>
        <s v="Naveen-ul-Haq"/>
        <s v="Yash Thakur"/>
        <s v="Mohsin Khan"/>
        <s v="Devdutt Padikkal"/>
      </sharedItems>
    </cacheField>
    <cacheField name="role" numFmtId="0">
      <sharedItems count="4">
        <s v="Batsman"/>
        <s v="Bowler"/>
        <s v="All-rounder"/>
        <s v="Wicketkeeper"/>
      </sharedItems>
    </cacheField>
    <cacheField name="auction_price" numFmtId="166">
      <sharedItems containsSemiMixedTypes="0" containsString="0" containsNumber="1" containsInteger="1" minValue="2000000" maxValue="170000000"/>
    </cacheField>
    <cacheField name="Batting avg" numFmtId="2">
      <sharedItems containsSemiMixedTypes="0" containsString="0" containsNumber="1" minValue="0" maxValue="113.21428571428571"/>
    </cacheField>
    <cacheField name="Economy" numFmtId="2">
      <sharedItems containsSemiMixedTypes="0" containsString="0" containsNumber="1" minValue="0" maxValue="8.7110187110187098"/>
    </cacheField>
    <cacheField name="Avg Wicket/match" numFmtId="1">
      <sharedItems containsSemiMixedTypes="0" containsString="0" containsNumber="1" minValue="0" maxValue="3.1785714285714284"/>
    </cacheField>
    <cacheField name="Rating" numFmtId="1">
      <sharedItems containsSemiMixedTypes="0" containsString="0" containsNumber="1" minValue="1.469642857142857" maxValue="18.504934591340589" count="88">
        <n v="8.2811320754716995"/>
        <n v="11.247169811320756"/>
        <n v="6.6986967516047446"/>
        <n v="16.683730108480013"/>
        <n v="8.9660377358490564"/>
        <n v="7.4377358490566037"/>
        <n v="3.6188679245283017"/>
        <n v="9.5132082886877729"/>
        <n v="8.7281771072221161"/>
        <n v="7.8190536614071871"/>
        <n v="16.410474723931525"/>
        <n v="5.7847222222222223"/>
        <n v="5.4486111111111111"/>
        <n v="11.787800979210056"/>
        <n v="12.583424595026237"/>
        <n v="8.2516233766233764"/>
        <n v="6.8005045083726916"/>
        <n v="6.7146705853539066"/>
        <n v="6.6624999999999996"/>
        <n v="15.465702947845806"/>
        <n v="7.9913694558756276"/>
        <n v="1.7486111111111111"/>
        <n v="8.4442622950819661"/>
        <n v="3.6622950819672133"/>
        <n v="13.854992071076758"/>
        <n v="7.9138930286471281"/>
        <n v="3.432786885245902"/>
        <n v="5.3278688524590168"/>
        <n v="12.825636974126011"/>
        <n v="5.2836065573770492"/>
        <n v="6.0555261766261221"/>
        <n v="7.4333923127758004"/>
        <n v="6.1777548379144598"/>
        <n v="10.882142857142856"/>
        <n v="15.514395807644883"/>
        <n v="17.208661740558291"/>
        <n v="8.4767857142857146"/>
        <n v="7.3509056732740943"/>
        <n v="11.321428571428571"/>
        <n v="18.504934591340589"/>
        <n v="9.8054852077817429"/>
        <n v="5.6671348314606735"/>
        <n v="6.2267857142857146"/>
        <n v="6.0746955746955758"/>
        <n v="4.45"/>
        <n v="7.0310810810810809"/>
        <n v="14.162868285351507"/>
        <n v="7.5616481866481857"/>
        <n v="3.6945945945945944"/>
        <n v="7.1081081081081079"/>
        <n v="4.1351351351351351"/>
        <n v="6.77952309549062"/>
        <n v="7.9524411133243937"/>
        <n v="8.5639849387502416"/>
        <n v="3.6594594594594598"/>
        <n v="1.469642857142857"/>
        <n v="9.3303571428571423"/>
        <n v="1.8053571428571427"/>
        <n v="10.04107142857143"/>
        <n v="6.1127551020408166"/>
        <n v="8.0011520737327189"/>
        <n v="17.049417468788718"/>
        <n v="7.6642857142857137"/>
        <n v="7.1897058823529409"/>
        <n v="3.2732142857142854"/>
        <n v="9.0567521169482248"/>
        <n v="17.380223503639257"/>
        <n v="6.7149253731343279"/>
        <n v="13.820205740221866"/>
        <n v="6.9925373134328357"/>
        <n v="7.5529196330576776"/>
        <n v="6.091572852461244"/>
        <n v="15.507109771340344"/>
        <n v="13.935077508211839"/>
        <n v="6.794655820979207"/>
        <n v="8.0522388059701502"/>
        <n v="9.0507462686567166"/>
        <n v="10.622950819672131"/>
        <n v="5.4606557377049176"/>
        <n v="12.789779859484778"/>
        <n v="7.9761832031458351"/>
        <n v="5.6672131147540981"/>
        <n v="2.0163934426229511"/>
        <n v="10.960020073603213"/>
        <n v="7.2784722522600465"/>
        <n v="8.6150328210145499"/>
        <n v="6.7099267036553858"/>
        <n v="5.1983606557377051"/>
      </sharedItems>
    </cacheField>
    <cacheField name="overall" numFmtId="0">
      <sharedItems count="3">
        <s v="Underatted"/>
        <s v="Perfectly rated"/>
        <s v="Overrated"/>
      </sharedItems>
    </cacheField>
    <cacheField name="nationality" numFmtId="0">
      <sharedItems/>
    </cacheField>
  </cacheFields>
  <extLst>
    <ext xmlns:x14="http://schemas.microsoft.com/office/spreadsheetml/2009/9/main" uri="{725AE2AE-9491-48be-B2B4-4EB974FC3084}">
      <x14:pivotCacheDefinition pivotCacheId="10803843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
  <r>
    <s v="P001"/>
    <x v="0"/>
    <x v="0"/>
    <n v="2000000"/>
    <n v="82.811320754716988"/>
    <n v="0"/>
    <n v="0"/>
    <x v="0"/>
    <x v="0"/>
    <s v="Indian"/>
  </r>
  <r>
    <s v="P002"/>
    <x v="1"/>
    <x v="0"/>
    <n v="160000000"/>
    <n v="112.47169811320755"/>
    <n v="0"/>
    <n v="0"/>
    <x v="1"/>
    <x v="1"/>
    <s v="Indian"/>
  </r>
  <r>
    <s v="P003"/>
    <x v="2"/>
    <x v="1"/>
    <n v="170000000"/>
    <n v="6.2641509433962268"/>
    <n v="8.6597938144329909"/>
    <n v="1.3584905660377358"/>
    <x v="2"/>
    <x v="1"/>
    <s v="Indian"/>
  </r>
  <r>
    <s v="P004"/>
    <x v="3"/>
    <x v="2"/>
    <n v="80000000"/>
    <n v="86.415094339622641"/>
    <n v="7.6370246085011182"/>
    <n v="1.679245283018868"/>
    <x v="3"/>
    <x v="1"/>
    <s v="Indian"/>
  </r>
  <r>
    <s v="P005"/>
    <x v="4"/>
    <x v="3"/>
    <n v="5000000"/>
    <n v="89.660377358490564"/>
    <n v="0"/>
    <n v="0"/>
    <x v="4"/>
    <x v="0"/>
    <s v="Indian"/>
  </r>
  <r>
    <s v="P006"/>
    <x v="5"/>
    <x v="0"/>
    <n v="50000000"/>
    <n v="74.377358490566039"/>
    <n v="0"/>
    <n v="0"/>
    <x v="5"/>
    <x v="1"/>
    <s v="Indian"/>
  </r>
  <r>
    <s v="P007"/>
    <x v="6"/>
    <x v="0"/>
    <n v="70000000"/>
    <n v="36.188679245283019"/>
    <n v="0"/>
    <n v="0"/>
    <x v="6"/>
    <x v="2"/>
    <s v="Overseas"/>
  </r>
  <r>
    <s v="P008"/>
    <x v="7"/>
    <x v="1"/>
    <n v="20000000"/>
    <n v="0"/>
    <n v="7.2037728433876991"/>
    <n v="2.7169811320754715"/>
    <x v="7"/>
    <x v="0"/>
    <s v="Overseas"/>
  </r>
  <r>
    <s v="P009"/>
    <x v="8"/>
    <x v="1"/>
    <n v="150000000"/>
    <n v="6.6037735849056602"/>
    <n v="7.9133323267401483"/>
    <n v="2.641509433962264"/>
    <x v="8"/>
    <x v="1"/>
    <s v="Indian"/>
  </r>
  <r>
    <s v="P010"/>
    <x v="9"/>
    <x v="1"/>
    <n v="120000000"/>
    <n v="0"/>
    <n v="8.0677387914230021"/>
    <n v="1.8867924528301887"/>
    <x v="9"/>
    <x v="1"/>
    <s v="Indian"/>
  </r>
  <r>
    <s v="P011"/>
    <x v="10"/>
    <x v="2"/>
    <n v="40000000"/>
    <n v="85.471698113207552"/>
    <n v="7.5706573515401718"/>
    <n v="1.4339622641509433"/>
    <x v="10"/>
    <x v="1"/>
    <s v="Indian"/>
  </r>
  <r>
    <s v="P012"/>
    <x v="11"/>
    <x v="3"/>
    <n v="170000000"/>
    <n v="57.847222222222221"/>
    <n v="0"/>
    <n v="0"/>
    <x v="11"/>
    <x v="1"/>
    <s v="Indian"/>
  </r>
  <r>
    <s v="P013"/>
    <x v="12"/>
    <x v="0"/>
    <n v="2000000"/>
    <n v="54.486111111111114"/>
    <n v="0"/>
    <n v="0"/>
    <x v="12"/>
    <x v="1"/>
    <s v="Indian"/>
  </r>
  <r>
    <s v="P014"/>
    <x v="13"/>
    <x v="2"/>
    <n v="160000000"/>
    <n v="28.416666666666668"/>
    <n v="7.3594212430121662"/>
    <n v="2.3055555555555554"/>
    <x v="13"/>
    <x v="1"/>
    <s v="Indian"/>
  </r>
  <r>
    <s v="P015"/>
    <x v="14"/>
    <x v="2"/>
    <n v="120000000"/>
    <n v="61.194444444444443"/>
    <n v="8.2443531827515404"/>
    <n v="0.70833333333333337"/>
    <x v="14"/>
    <x v="1"/>
    <s v="Indian"/>
  </r>
  <r>
    <s v="P016"/>
    <x v="15"/>
    <x v="1"/>
    <n v="20000000"/>
    <n v="0"/>
    <n v="7.6233766233766236"/>
    <n v="1.875"/>
    <x v="15"/>
    <x v="0"/>
    <s v="Overseas"/>
  </r>
  <r>
    <s v="P017"/>
    <x v="16"/>
    <x v="1"/>
    <n v="80000000"/>
    <n v="3.5138888888888888"/>
    <n v="8.5744954916273084"/>
    <n v="1.375"/>
    <x v="16"/>
    <x v="1"/>
    <s v="Indian"/>
  </r>
  <r>
    <s v="P018"/>
    <x v="17"/>
    <x v="1"/>
    <n v="70000000"/>
    <n v="0"/>
    <n v="8.6186627479794264"/>
    <n v="1.3333333333333333"/>
    <x v="17"/>
    <x v="1"/>
    <s v="Indian"/>
  </r>
  <r>
    <s v="P019"/>
    <x v="18"/>
    <x v="0"/>
    <n v="5000000"/>
    <n v="66.625"/>
    <n v="0"/>
    <n v="0"/>
    <x v="18"/>
    <x v="1"/>
    <s v="Indian"/>
  </r>
  <r>
    <s v="P020"/>
    <x v="19"/>
    <x v="2"/>
    <n v="150000000"/>
    <n v="82.916666666666671"/>
    <n v="7.3537414965986398"/>
    <n v="0.52777777777777779"/>
    <x v="19"/>
    <x v="1"/>
    <s v="Overseas"/>
  </r>
  <r>
    <s v="P021"/>
    <x v="20"/>
    <x v="1"/>
    <n v="40000000"/>
    <n v="1.4027777777777777"/>
    <n v="7.2725194330132608"/>
    <n v="1.2638888888888888"/>
    <x v="20"/>
    <x v="1"/>
    <s v="Overseas"/>
  </r>
  <r>
    <s v="P022"/>
    <x v="21"/>
    <x v="0"/>
    <n v="50000000"/>
    <n v="17.486111111111111"/>
    <n v="0"/>
    <n v="0"/>
    <x v="21"/>
    <x v="2"/>
    <s v="Indian"/>
  </r>
  <r>
    <s v="P023"/>
    <x v="22"/>
    <x v="0"/>
    <n v="120000000"/>
    <n v="84.442622950819668"/>
    <n v="0"/>
    <n v="0"/>
    <x v="22"/>
    <x v="1"/>
    <s v="Indian"/>
  </r>
  <r>
    <s v="P024"/>
    <x v="23"/>
    <x v="0"/>
    <n v="40000000"/>
    <n v="36.622950819672134"/>
    <n v="0"/>
    <n v="0"/>
    <x v="23"/>
    <x v="1"/>
    <s v="Overseas"/>
  </r>
  <r>
    <s v="P025"/>
    <x v="24"/>
    <x v="2"/>
    <n v="80000000"/>
    <n v="45.442622950819676"/>
    <n v="7.6073030108904547"/>
    <n v="2.918032786885246"/>
    <x v="24"/>
    <x v="1"/>
    <s v="Overseas"/>
  </r>
  <r>
    <s v="P026"/>
    <x v="25"/>
    <x v="1"/>
    <n v="170000000"/>
    <n v="0"/>
    <n v="8.282828282828282"/>
    <n v="2.1967213114754101"/>
    <x v="25"/>
    <x v="1"/>
    <s v="Indian"/>
  </r>
  <r>
    <s v="P027"/>
    <x v="26"/>
    <x v="0"/>
    <n v="50000000"/>
    <n v="34.327868852459019"/>
    <n v="0"/>
    <n v="0"/>
    <x v="26"/>
    <x v="2"/>
    <s v="Indian"/>
  </r>
  <r>
    <s v="P028"/>
    <x v="27"/>
    <x v="3"/>
    <n v="160000000"/>
    <n v="53.278688524590166"/>
    <n v="0"/>
    <n v="0"/>
    <x v="27"/>
    <x v="1"/>
    <s v="Indian"/>
  </r>
  <r>
    <s v="P029"/>
    <x v="28"/>
    <x v="2"/>
    <n v="2000000"/>
    <n v="53.672131147540981"/>
    <n v="7.7710843373493983"/>
    <n v="1.2295081967213115"/>
    <x v="28"/>
    <x v="0"/>
    <s v="Overseas"/>
  </r>
  <r>
    <s v="P030"/>
    <x v="29"/>
    <x v="3"/>
    <n v="150000000"/>
    <n v="52.83606557377049"/>
    <n v="0"/>
    <n v="0"/>
    <x v="29"/>
    <x v="1"/>
    <s v="Indian"/>
  </r>
  <r>
    <s v="P031"/>
    <x v="30"/>
    <x v="1"/>
    <n v="70000000"/>
    <n v="3.1147540983606556"/>
    <n v="8.3870967741935498"/>
    <n v="0.44262295081967212"/>
    <x v="30"/>
    <x v="1"/>
    <s v="Indian"/>
  </r>
  <r>
    <s v="P032"/>
    <x v="31"/>
    <x v="1"/>
    <n v="5000000"/>
    <n v="3.2131147540983607"/>
    <n v="7.7633289986996097"/>
    <n v="1.1967213114754098"/>
    <x v="31"/>
    <x v="0"/>
    <s v="Indian"/>
  </r>
  <r>
    <s v="P033"/>
    <x v="32"/>
    <x v="1"/>
    <n v="20000000"/>
    <n v="6.0163934426229506"/>
    <n v="8.6419172932330817"/>
    <n v="0.81967213114754101"/>
    <x v="32"/>
    <x v="1"/>
    <s v="Indian"/>
  </r>
  <r>
    <s v="P034"/>
    <x v="33"/>
    <x v="0"/>
    <n v="70000000"/>
    <n v="108.82142857142857"/>
    <n v="0"/>
    <n v="0"/>
    <x v="33"/>
    <x v="1"/>
    <s v="Indian"/>
  </r>
  <r>
    <s v="P035"/>
    <x v="34"/>
    <x v="2"/>
    <n v="160000000"/>
    <n v="67.642857142857139"/>
    <n v="7.4106041923551169"/>
    <n v="2.1607142857142856"/>
    <x v="34"/>
    <x v="1"/>
    <s v="Overseas"/>
  </r>
  <r>
    <s v="P036"/>
    <x v="35"/>
    <x v="2"/>
    <n v="5000000"/>
    <n v="93.178571428571431"/>
    <n v="7.6091954022988508"/>
    <n v="1.5"/>
    <x v="35"/>
    <x v="0"/>
    <s v="Overseas"/>
  </r>
  <r>
    <s v="P037"/>
    <x v="36"/>
    <x v="0"/>
    <n v="50000000"/>
    <n v="84.767857142857139"/>
    <n v="0"/>
    <n v="0"/>
    <x v="36"/>
    <x v="1"/>
    <s v="Indian"/>
  </r>
  <r>
    <s v="P038"/>
    <x v="37"/>
    <x v="1"/>
    <n v="170000000"/>
    <n v="5.1607142857142856"/>
    <n v="7.5598086124401913"/>
    <n v="0.9107142857142857"/>
    <x v="37"/>
    <x v="1"/>
    <s v="Overseas"/>
  </r>
  <r>
    <s v="P039"/>
    <x v="38"/>
    <x v="3"/>
    <n v="150000000"/>
    <n v="113.21428571428571"/>
    <n v="0"/>
    <n v="0"/>
    <x v="38"/>
    <x v="1"/>
    <s v="Overseas"/>
  </r>
  <r>
    <s v="P040"/>
    <x v="39"/>
    <x v="2"/>
    <n v="2000000"/>
    <n v="95.803571428571431"/>
    <n v="7.7897082658022683"/>
    <n v="2.7142857142857144"/>
    <x v="39"/>
    <x v="0"/>
    <s v="Indian"/>
  </r>
  <r>
    <s v="P041"/>
    <x v="40"/>
    <x v="1"/>
    <n v="80000000"/>
    <n v="3.2857142857142856"/>
    <n v="7.373086220789685"/>
    <n v="3.1785714285714284"/>
    <x v="40"/>
    <x v="1"/>
    <s v="Indian"/>
  </r>
  <r>
    <s v="P042"/>
    <x v="41"/>
    <x v="1"/>
    <n v="40000000"/>
    <n v="0"/>
    <n v="8.7078651685393265"/>
    <n v="0.375"/>
    <x v="41"/>
    <x v="1"/>
    <s v="Indian"/>
  </r>
  <r>
    <s v="P043"/>
    <x v="42"/>
    <x v="0"/>
    <n v="20000000"/>
    <n v="62.267857142857146"/>
    <n v="0"/>
    <n v="0"/>
    <x v="42"/>
    <x v="1"/>
    <s v="Indian"/>
  </r>
  <r>
    <s v="P044"/>
    <x v="43"/>
    <x v="1"/>
    <n v="120000000"/>
    <n v="3.6428571428571428"/>
    <n v="8.7110187110187098"/>
    <n v="0.7857142857142857"/>
    <x v="43"/>
    <x v="1"/>
    <s v="Indian"/>
  </r>
  <r>
    <s v="P045"/>
    <x v="44"/>
    <x v="3"/>
    <n v="50000000"/>
    <n v="44.5"/>
    <n v="0"/>
    <n v="0"/>
    <x v="44"/>
    <x v="2"/>
    <s v="Indian"/>
  </r>
  <r>
    <s v="P046"/>
    <x v="45"/>
    <x v="0"/>
    <n v="160000000"/>
    <n v="70.310810810810807"/>
    <n v="0"/>
    <n v="0"/>
    <x v="45"/>
    <x v="1"/>
    <s v="Overseas"/>
  </r>
  <r>
    <s v="P047"/>
    <x v="46"/>
    <x v="2"/>
    <n v="20000000"/>
    <n v="70.608108108108112"/>
    <n v="8.5330776605944383"/>
    <n v="1.6351351351351351"/>
    <x v="46"/>
    <x v="0"/>
    <s v="Indian"/>
  </r>
  <r>
    <s v="P048"/>
    <x v="47"/>
    <x v="1"/>
    <n v="80000000"/>
    <n v="2.6081081081081079"/>
    <n v="7.9113247863247871"/>
    <n v="1.472972972972973"/>
    <x v="47"/>
    <x v="1"/>
    <s v="Indian"/>
  </r>
  <r>
    <s v="P049"/>
    <x v="48"/>
    <x v="0"/>
    <n v="2000000"/>
    <n v="36.945945945945944"/>
    <n v="0"/>
    <n v="0"/>
    <x v="48"/>
    <x v="1"/>
    <s v="Indian"/>
  </r>
  <r>
    <s v="P050"/>
    <x v="49"/>
    <x v="0"/>
    <n v="70000000"/>
    <n v="71.081081081081081"/>
    <n v="0"/>
    <n v="0"/>
    <x v="49"/>
    <x v="1"/>
    <s v="Overseas"/>
  </r>
  <r>
    <s v="P051"/>
    <x v="50"/>
    <x v="0"/>
    <n v="40000000"/>
    <n v="41.351351351351354"/>
    <n v="0"/>
    <n v="0"/>
    <x v="50"/>
    <x v="1"/>
    <s v="Overseas"/>
  </r>
  <r>
    <s v="P052"/>
    <x v="51"/>
    <x v="1"/>
    <n v="150000000"/>
    <n v="0"/>
    <n v="8.1529093369418124"/>
    <n v="0.93243243243243246"/>
    <x v="51"/>
    <x v="1"/>
    <s v="Indian"/>
  </r>
  <r>
    <s v="P053"/>
    <x v="52"/>
    <x v="1"/>
    <n v="120000000"/>
    <n v="0"/>
    <n v="7.3989102380269571"/>
    <n v="1.3513513513513513"/>
    <x v="52"/>
    <x v="1"/>
    <s v="Indian"/>
  </r>
  <r>
    <s v="P054"/>
    <x v="53"/>
    <x v="1"/>
    <n v="170000000"/>
    <n v="1.1486486486486487"/>
    <n v="7.5441231693578663"/>
    <n v="2.1081081081081079"/>
    <x v="53"/>
    <x v="1"/>
    <s v="Indian"/>
  </r>
  <r>
    <s v="P055"/>
    <x v="54"/>
    <x v="3"/>
    <n v="5000000"/>
    <n v="36.594594594594597"/>
    <n v="0"/>
    <n v="0"/>
    <x v="54"/>
    <x v="1"/>
    <s v="Indian"/>
  </r>
  <r>
    <s v="P056"/>
    <x v="55"/>
    <x v="3"/>
    <n v="170000000"/>
    <n v="14.696428571428571"/>
    <n v="0"/>
    <n v="0"/>
    <x v="55"/>
    <x v="2"/>
    <s v="Indian"/>
  </r>
  <r>
    <s v="P057"/>
    <x v="56"/>
    <x v="0"/>
    <n v="120000000"/>
    <n v="93.303571428571431"/>
    <n v="0"/>
    <n v="0"/>
    <x v="56"/>
    <x v="1"/>
    <s v="Indian"/>
  </r>
  <r>
    <s v="P058"/>
    <x v="57"/>
    <x v="3"/>
    <n v="80000000"/>
    <n v="18.053571428571427"/>
    <n v="0"/>
    <n v="0"/>
    <x v="57"/>
    <x v="2"/>
    <s v="Overseas"/>
  </r>
  <r>
    <s v="P059"/>
    <x v="58"/>
    <x v="0"/>
    <n v="160000000"/>
    <n v="100.41071428571429"/>
    <n v="0"/>
    <n v="0"/>
    <x v="58"/>
    <x v="1"/>
    <s v="Indian"/>
  </r>
  <r>
    <s v="P060"/>
    <x v="59"/>
    <x v="1"/>
    <n v="50000000"/>
    <n v="5.6964285714285712"/>
    <n v="8.4408163265306122"/>
    <n v="0.5535714285714286"/>
    <x v="59"/>
    <x v="1"/>
    <s v="Indian"/>
  </r>
  <r>
    <s v="P061"/>
    <x v="60"/>
    <x v="1"/>
    <n v="40000000"/>
    <n v="1.875"/>
    <n v="7.2667050691244244"/>
    <n v="1.2678571428571428"/>
    <x v="60"/>
    <x v="1"/>
    <s v="Overseas"/>
  </r>
  <r>
    <s v="P062"/>
    <x v="61"/>
    <x v="2"/>
    <n v="2000000"/>
    <n v="110.66071428571429"/>
    <n v="8.5523682454969983"/>
    <n v="0.5357142857142857"/>
    <x v="61"/>
    <x v="0"/>
    <s v="Indian"/>
  </r>
  <r>
    <s v="P063"/>
    <x v="62"/>
    <x v="3"/>
    <n v="5000000"/>
    <n v="76.642857142857139"/>
    <n v="0"/>
    <n v="0"/>
    <x v="62"/>
    <x v="0"/>
    <s v="Indian"/>
  </r>
  <r>
    <s v="P064"/>
    <x v="63"/>
    <x v="1"/>
    <n v="70000000"/>
    <n v="0"/>
    <n v="7.4352941176470591"/>
    <n v="0.625"/>
    <x v="63"/>
    <x v="1"/>
    <s v="Indian"/>
  </r>
  <r>
    <s v="P065"/>
    <x v="64"/>
    <x v="0"/>
    <n v="150000000"/>
    <n v="32.732142857142854"/>
    <n v="0"/>
    <n v="0"/>
    <x v="64"/>
    <x v="2"/>
    <s v="Overseas"/>
  </r>
  <r>
    <s v="P066"/>
    <x v="65"/>
    <x v="1"/>
    <n v="20000000"/>
    <n v="0"/>
    <n v="7.925390740194632"/>
    <n v="2.9821428571428572"/>
    <x v="65"/>
    <x v="0"/>
    <s v="Indian"/>
  </r>
  <r>
    <s v="P067"/>
    <x v="66"/>
    <x v="2"/>
    <n v="150000000"/>
    <n v="85.955223880597018"/>
    <n v="7.5436570933756677"/>
    <n v="2.3283582089552239"/>
    <x v="66"/>
    <x v="1"/>
    <s v="Overseas"/>
  </r>
  <r>
    <s v="P068"/>
    <x v="67"/>
    <x v="0"/>
    <n v="70000000"/>
    <n v="67.149253731343279"/>
    <n v="0"/>
    <n v="0"/>
    <x v="67"/>
    <x v="1"/>
    <s v="Overseas"/>
  </r>
  <r>
    <s v="P069"/>
    <x v="68"/>
    <x v="2"/>
    <n v="5000000"/>
    <n v="60.686567164179102"/>
    <n v="7.4424808269423144"/>
    <n v="1.1940298507462686"/>
    <x v="68"/>
    <x v="0"/>
    <s v="Indian"/>
  </r>
  <r>
    <s v="P070"/>
    <x v="69"/>
    <x v="3"/>
    <n v="120000000"/>
    <n v="69.925373134328353"/>
    <n v="0"/>
    <n v="0"/>
    <x v="69"/>
    <x v="1"/>
    <s v="Overseas"/>
  </r>
  <r>
    <s v="P071"/>
    <x v="70"/>
    <x v="1"/>
    <n v="20000000"/>
    <n v="0"/>
    <n v="8.0888714117184417"/>
    <n v="1.6417910447761195"/>
    <x v="70"/>
    <x v="0"/>
    <s v="Indian"/>
  </r>
  <r>
    <s v="P072"/>
    <x v="71"/>
    <x v="1"/>
    <n v="2000000"/>
    <n v="5.0298507462686564"/>
    <n v="8.5949943117178602"/>
    <n v="0.68656716417910446"/>
    <x v="71"/>
    <x v="1"/>
    <s v="Indian"/>
  </r>
  <r>
    <s v="P073"/>
    <x v="72"/>
    <x v="2"/>
    <n v="170000000"/>
    <n v="63.64179104477612"/>
    <n v="7.3645320197044333"/>
    <n v="2.5074626865671643"/>
    <x v="72"/>
    <x v="1"/>
    <s v="Indian"/>
  </r>
  <r>
    <s v="P074"/>
    <x v="73"/>
    <x v="2"/>
    <n v="160000000"/>
    <n v="73.97014925373135"/>
    <n v="8.088803088803088"/>
    <n v="0.62686567164179108"/>
    <x v="73"/>
    <x v="1"/>
    <s v="Indian"/>
  </r>
  <r>
    <s v="P075"/>
    <x v="74"/>
    <x v="1"/>
    <n v="50000000"/>
    <n v="0"/>
    <n v="8.4889262685730316"/>
    <n v="1.2835820895522387"/>
    <x v="74"/>
    <x v="1"/>
    <s v="Indian"/>
  </r>
  <r>
    <s v="P076"/>
    <x v="75"/>
    <x v="0"/>
    <n v="80000000"/>
    <n v="80.522388059701498"/>
    <n v="0"/>
    <n v="0"/>
    <x v="75"/>
    <x v="1"/>
    <s v="Indian"/>
  </r>
  <r>
    <s v="P077"/>
    <x v="76"/>
    <x v="0"/>
    <n v="40000000"/>
    <n v="90.507462686567166"/>
    <n v="0"/>
    <n v="0"/>
    <x v="76"/>
    <x v="1"/>
    <s v="Indian"/>
  </r>
  <r>
    <s v="P078"/>
    <x v="77"/>
    <x v="3"/>
    <n v="40000000"/>
    <n v="106.22950819672131"/>
    <n v="0"/>
    <n v="0"/>
    <x v="77"/>
    <x v="1"/>
    <s v="Indian"/>
  </r>
  <r>
    <s v="P079"/>
    <x v="78"/>
    <x v="3"/>
    <n v="50000000"/>
    <n v="54.606557377049178"/>
    <n v="0"/>
    <n v="0"/>
    <x v="78"/>
    <x v="1"/>
    <s v="Overseas"/>
  </r>
  <r>
    <s v="P080"/>
    <x v="79"/>
    <x v="2"/>
    <n v="80000000"/>
    <n v="32.344262295081968"/>
    <n v="7.3462857142857141"/>
    <n v="2.901639344262295"/>
    <x v="79"/>
    <x v="1"/>
    <s v="Overseas"/>
  </r>
  <r>
    <s v="P081"/>
    <x v="80"/>
    <x v="1"/>
    <n v="120000000"/>
    <n v="3.9672131147540983"/>
    <n v="7.6959479443951491"/>
    <n v="1.6721311475409837"/>
    <x v="80"/>
    <x v="1"/>
    <s v="Indian"/>
  </r>
  <r>
    <s v="P082"/>
    <x v="81"/>
    <x v="3"/>
    <n v="70000000"/>
    <n v="56.672131147540981"/>
    <n v="0"/>
    <n v="0"/>
    <x v="81"/>
    <x v="1"/>
    <s v="Overseas"/>
  </r>
  <r>
    <s v="P083"/>
    <x v="82"/>
    <x v="0"/>
    <n v="150000000"/>
    <n v="20.16393442622951"/>
    <n v="0"/>
    <n v="0"/>
    <x v="82"/>
    <x v="2"/>
    <s v="Indian"/>
  </r>
  <r>
    <s v="P084"/>
    <x v="83"/>
    <x v="2"/>
    <n v="170000000"/>
    <n v="24.065573770491802"/>
    <n v="7.5448979591836736"/>
    <n v="2.098360655737705"/>
    <x v="83"/>
    <x v="1"/>
    <s v="Indian"/>
  </r>
  <r>
    <s v="P085"/>
    <x v="84"/>
    <x v="1"/>
    <n v="160000000"/>
    <n v="3.7049180327868854"/>
    <n v="8.1477572559366749"/>
    <n v="1.4262295081967213"/>
    <x v="84"/>
    <x v="1"/>
    <s v="Overseas"/>
  </r>
  <r>
    <s v="P086"/>
    <x v="85"/>
    <x v="1"/>
    <n v="20000000"/>
    <n v="3.3934426229508197"/>
    <n v="7.2866065232477446"/>
    <n v="1.901639344262295"/>
    <x v="85"/>
    <x v="0"/>
    <s v="Indian"/>
  </r>
  <r>
    <s v="P087"/>
    <x v="86"/>
    <x v="1"/>
    <n v="2000000"/>
    <n v="0"/>
    <n v="8.4212208373282209"/>
    <n v="1.1311475409836065"/>
    <x v="86"/>
    <x v="1"/>
    <s v="Indian"/>
  </r>
  <r>
    <s v="P088"/>
    <x v="87"/>
    <x v="0"/>
    <n v="5000000"/>
    <n v="51.983606557377051"/>
    <n v="0"/>
    <n v="0"/>
    <x v="87"/>
    <x v="1"/>
    <s v="India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495273-4DA7-6F44-88DE-5D449F86F108}"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99" firstHeaderRow="1" firstDataRow="1" firstDataCol="1" rowPageCount="2" colPageCount="1"/>
  <pivotFields count="10">
    <pivotField showAll="0"/>
    <pivotField axis="axisRow" showAll="0" sortType="descending">
      <items count="89">
        <item x="59"/>
        <item x="56"/>
        <item x="85"/>
        <item x="30"/>
        <item x="22"/>
        <item x="39"/>
        <item x="40"/>
        <item x="43"/>
        <item x="16"/>
        <item x="50"/>
        <item x="60"/>
        <item x="67"/>
        <item x="6"/>
        <item x="5"/>
        <item x="71"/>
        <item x="1"/>
        <item x="34"/>
        <item x="33"/>
        <item x="14"/>
        <item x="64"/>
        <item x="73"/>
        <item x="55"/>
        <item x="65"/>
        <item x="21"/>
        <item x="12"/>
        <item x="0"/>
        <item x="58"/>
        <item x="44"/>
        <item x="36"/>
        <item x="13"/>
        <item x="61"/>
        <item x="80"/>
        <item x="42"/>
        <item x="26"/>
        <item x="81"/>
        <item x="48"/>
        <item x="8"/>
        <item x="38"/>
        <item x="66"/>
        <item x="72"/>
        <item x="78"/>
        <item x="84"/>
        <item x="10"/>
        <item x="52"/>
        <item x="11"/>
        <item x="86"/>
        <item x="25"/>
        <item x="37"/>
        <item x="31"/>
        <item x="75"/>
        <item x="15"/>
        <item x="79"/>
        <item x="20"/>
        <item x="47"/>
        <item x="83"/>
        <item x="77"/>
        <item x="51"/>
        <item x="32"/>
        <item x="57"/>
        <item x="74"/>
        <item x="2"/>
        <item x="49"/>
        <item x="53"/>
        <item x="4"/>
        <item x="69"/>
        <item x="41"/>
        <item x="3"/>
        <item x="24"/>
        <item x="7"/>
        <item x="23"/>
        <item x="27"/>
        <item x="62"/>
        <item x="87"/>
        <item x="17"/>
        <item x="45"/>
        <item x="19"/>
        <item x="28"/>
        <item x="70"/>
        <item x="82"/>
        <item x="46"/>
        <item x="63"/>
        <item x="29"/>
        <item x="35"/>
        <item x="9"/>
        <item x="18"/>
        <item x="54"/>
        <item x="68"/>
        <item x="76"/>
        <item t="default"/>
      </items>
      <autoSortScope>
        <pivotArea dataOnly="0" outline="0" fieldPosition="0">
          <references count="1">
            <reference field="4294967294" count="1" selected="0">
              <x v="0"/>
            </reference>
          </references>
        </pivotArea>
      </autoSortScope>
    </pivotField>
    <pivotField axis="axisRow" showAll="0">
      <items count="5">
        <item x="2"/>
        <item x="0"/>
        <item x="1"/>
        <item x="3"/>
        <item t="default"/>
      </items>
    </pivotField>
    <pivotField numFmtId="166" showAll="0"/>
    <pivotField numFmtId="2" showAll="0"/>
    <pivotField numFmtId="2" showAll="0"/>
    <pivotField numFmtId="1" showAll="0"/>
    <pivotField axis="axisPage" dataField="1" numFmtId="1" showAll="0">
      <items count="89">
        <item x="55"/>
        <item x="21"/>
        <item x="57"/>
        <item x="82"/>
        <item x="64"/>
        <item x="26"/>
        <item x="6"/>
        <item x="54"/>
        <item x="23"/>
        <item x="48"/>
        <item x="50"/>
        <item x="44"/>
        <item x="87"/>
        <item x="29"/>
        <item x="27"/>
        <item x="12"/>
        <item x="78"/>
        <item x="41"/>
        <item x="81"/>
        <item x="11"/>
        <item x="30"/>
        <item x="43"/>
        <item x="71"/>
        <item x="59"/>
        <item x="32"/>
        <item x="42"/>
        <item x="18"/>
        <item x="2"/>
        <item x="86"/>
        <item x="17"/>
        <item x="67"/>
        <item x="51"/>
        <item x="74"/>
        <item x="16"/>
        <item x="69"/>
        <item x="45"/>
        <item x="49"/>
        <item x="63"/>
        <item x="84"/>
        <item x="37"/>
        <item x="31"/>
        <item x="5"/>
        <item x="70"/>
        <item x="47"/>
        <item x="62"/>
        <item x="9"/>
        <item x="25"/>
        <item x="52"/>
        <item x="80"/>
        <item x="20"/>
        <item x="60"/>
        <item x="75"/>
        <item x="15"/>
        <item x="0"/>
        <item x="22"/>
        <item x="36"/>
        <item x="53"/>
        <item x="85"/>
        <item x="8"/>
        <item x="4"/>
        <item x="76"/>
        <item x="65"/>
        <item x="56"/>
        <item x="7"/>
        <item x="40"/>
        <item x="58"/>
        <item x="77"/>
        <item x="33"/>
        <item x="83"/>
        <item x="1"/>
        <item x="38"/>
        <item x="13"/>
        <item x="14"/>
        <item x="79"/>
        <item x="28"/>
        <item x="68"/>
        <item x="24"/>
        <item x="73"/>
        <item x="46"/>
        <item x="19"/>
        <item x="72"/>
        <item x="34"/>
        <item x="10"/>
        <item x="3"/>
        <item x="61"/>
        <item x="35"/>
        <item x="66"/>
        <item x="39"/>
        <item t="default"/>
      </items>
    </pivotField>
    <pivotField axis="axisPage" showAll="0">
      <items count="4">
        <item x="2"/>
        <item x="1"/>
        <item x="0"/>
        <item t="default"/>
      </items>
    </pivotField>
    <pivotField showAll="0"/>
  </pivotFields>
  <rowFields count="2">
    <field x="2"/>
    <field x="1"/>
  </rowFields>
  <rowItems count="93">
    <i>
      <x/>
    </i>
    <i r="1">
      <x v="5"/>
    </i>
    <i r="1">
      <x v="38"/>
    </i>
    <i r="1">
      <x v="82"/>
    </i>
    <i r="1">
      <x v="30"/>
    </i>
    <i r="1">
      <x v="66"/>
    </i>
    <i r="1">
      <x v="42"/>
    </i>
    <i r="1">
      <x v="16"/>
    </i>
    <i r="1">
      <x v="39"/>
    </i>
    <i r="1">
      <x v="75"/>
    </i>
    <i r="1">
      <x v="79"/>
    </i>
    <i r="1">
      <x v="20"/>
    </i>
    <i r="1">
      <x v="67"/>
    </i>
    <i r="1">
      <x v="86"/>
    </i>
    <i r="1">
      <x v="76"/>
    </i>
    <i r="1">
      <x v="51"/>
    </i>
    <i r="1">
      <x v="18"/>
    </i>
    <i r="1">
      <x v="29"/>
    </i>
    <i r="1">
      <x v="54"/>
    </i>
    <i>
      <x v="1"/>
    </i>
    <i r="1">
      <x v="15"/>
    </i>
    <i r="1">
      <x v="17"/>
    </i>
    <i r="1">
      <x v="26"/>
    </i>
    <i r="1">
      <x v="1"/>
    </i>
    <i r="1">
      <x v="87"/>
    </i>
    <i r="1">
      <x v="28"/>
    </i>
    <i r="1">
      <x v="4"/>
    </i>
    <i r="1">
      <x v="25"/>
    </i>
    <i r="1">
      <x v="49"/>
    </i>
    <i r="1">
      <x v="13"/>
    </i>
    <i r="1">
      <x v="61"/>
    </i>
    <i r="1">
      <x v="74"/>
    </i>
    <i r="1">
      <x v="11"/>
    </i>
    <i r="1">
      <x v="84"/>
    </i>
    <i r="1">
      <x v="32"/>
    </i>
    <i r="1">
      <x v="24"/>
    </i>
    <i r="1">
      <x v="72"/>
    </i>
    <i r="1">
      <x v="9"/>
    </i>
    <i r="1">
      <x v="35"/>
    </i>
    <i r="1">
      <x v="69"/>
    </i>
    <i r="1">
      <x v="12"/>
    </i>
    <i r="1">
      <x v="33"/>
    </i>
    <i r="1">
      <x v="19"/>
    </i>
    <i r="1">
      <x v="78"/>
    </i>
    <i r="1">
      <x v="23"/>
    </i>
    <i>
      <x v="2"/>
    </i>
    <i r="1">
      <x v="6"/>
    </i>
    <i r="1">
      <x v="68"/>
    </i>
    <i r="1">
      <x v="22"/>
    </i>
    <i r="1">
      <x v="36"/>
    </i>
    <i r="1">
      <x v="2"/>
    </i>
    <i r="1">
      <x v="62"/>
    </i>
    <i r="1">
      <x v="50"/>
    </i>
    <i r="1">
      <x v="10"/>
    </i>
    <i r="1">
      <x v="52"/>
    </i>
    <i r="1">
      <x v="31"/>
    </i>
    <i r="1">
      <x v="43"/>
    </i>
    <i r="1">
      <x v="46"/>
    </i>
    <i r="1">
      <x v="83"/>
    </i>
    <i r="1">
      <x v="53"/>
    </i>
    <i r="1">
      <x v="77"/>
    </i>
    <i r="1">
      <x v="48"/>
    </i>
    <i r="1">
      <x v="47"/>
    </i>
    <i r="1">
      <x v="41"/>
    </i>
    <i r="1">
      <x v="80"/>
    </i>
    <i r="1">
      <x v="8"/>
    </i>
    <i r="1">
      <x v="59"/>
    </i>
    <i r="1">
      <x v="56"/>
    </i>
    <i r="1">
      <x v="73"/>
    </i>
    <i r="1">
      <x v="45"/>
    </i>
    <i r="1">
      <x v="60"/>
    </i>
    <i r="1">
      <x v="57"/>
    </i>
    <i r="1">
      <x/>
    </i>
    <i r="1">
      <x v="14"/>
    </i>
    <i r="1">
      <x v="7"/>
    </i>
    <i r="1">
      <x v="3"/>
    </i>
    <i r="1">
      <x v="65"/>
    </i>
    <i>
      <x v="3"/>
    </i>
    <i r="1">
      <x v="37"/>
    </i>
    <i r="1">
      <x v="55"/>
    </i>
    <i r="1">
      <x v="63"/>
    </i>
    <i r="1">
      <x v="71"/>
    </i>
    <i r="1">
      <x v="64"/>
    </i>
    <i r="1">
      <x v="44"/>
    </i>
    <i r="1">
      <x v="34"/>
    </i>
    <i r="1">
      <x v="40"/>
    </i>
    <i r="1">
      <x v="70"/>
    </i>
    <i r="1">
      <x v="81"/>
    </i>
    <i r="1">
      <x v="27"/>
    </i>
    <i r="1">
      <x v="85"/>
    </i>
    <i r="1">
      <x v="58"/>
    </i>
    <i r="1">
      <x v="21"/>
    </i>
    <i t="grand">
      <x/>
    </i>
  </rowItems>
  <colItems count="1">
    <i/>
  </colItems>
  <pageFields count="2">
    <pageField fld="7" hier="-1"/>
    <pageField fld="8" hier="-1"/>
  </pageFields>
  <dataFields count="1">
    <dataField name="Sum of Rating" fld="7"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DB83F92F-0569-2C49-8ACA-FBCA2CEAD7E0}" autoFormatId="16" applyNumberFormats="0" applyBorderFormats="0" applyFontFormats="0" applyPatternFormats="0" applyAlignmentFormats="0" applyWidthHeightFormats="0">
  <queryTableRefresh nextId="11">
    <queryTableFields count="10">
      <queryTableField id="1" name="Column1" tableColumnId="1"/>
      <queryTableField id="2" name="Column2" tableColumnId="2"/>
      <queryTableField id="3" name="Column3" tableColumnId="3"/>
      <queryTableField id="9" dataBound="0" tableColumnId="9"/>
      <queryTableField id="6" dataBound="0" tableColumnId="6"/>
      <queryTableField id="7" dataBound="0" tableColumnId="7"/>
      <queryTableField id="8" dataBound="0" tableColumnId="8"/>
      <queryTableField id="10" dataBound="0" tableColumnId="10"/>
      <queryTableField id="5" dataBound="0" tableColumnId="5"/>
      <queryTableField id="4" name="Column4"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15C91461-8161-0548-AE55-2EA9CDDF52B1}" autoFormatId="16" applyNumberFormats="0" applyBorderFormats="0" applyFontFormats="0" applyPatternFormats="0" applyAlignmentFormats="0" applyWidthHeightFormats="0">
  <queryTableRefresh nextId="6">
    <queryTableFields count="5">
      <queryTableField id="1" name="match_id" tableColumnId="1"/>
      <queryTableField id="2" name="season" tableColumnId="2"/>
      <queryTableField id="3" name="venue" tableColumnId="3"/>
      <queryTableField id="5" dataBound="0" tableColumnId="5"/>
      <queryTableField id="4" name="winner"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 xr16:uid="{C1F50DDB-5D45-EA45-B8DC-31CA5B7E4348}" autoFormatId="16" applyNumberFormats="0" applyBorderFormats="0" applyFontFormats="0" applyPatternFormats="0" applyAlignmentFormats="0" applyWidthHeightFormats="0">
  <queryTableRefresh nextId="11">
    <queryTableFields count="10">
      <queryTableField id="1" name="player_id" tableColumnId="1"/>
      <queryTableField id="8" dataBound="0" tableColumnId="8"/>
      <queryTableField id="9" dataBound="0" tableColumnId="10"/>
      <queryTableField id="10" dataBound="0" tableColumnId="11"/>
      <queryTableField id="2" name="runs" tableColumnId="2"/>
      <queryTableField id="3" name="balls" tableColumnId="3"/>
      <queryTableField id="6" dataBound="0" tableColumnId="6"/>
      <queryTableField id="7" dataBound="0" tableColumnId="7"/>
      <queryTableField id="4" name="fours" tableColumnId="4"/>
      <queryTableField id="5" name="sixes"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 xr16:uid="{3FD94CE9-F524-E54F-86B6-9F1956CBD0C9}" autoFormatId="16" applyNumberFormats="0" applyBorderFormats="0" applyFontFormats="0" applyPatternFormats="0" applyAlignmentFormats="0" applyWidthHeightFormats="0">
  <queryTableRefresh nextId="10">
    <queryTableFields count="9">
      <queryTableField id="1" name="player_id" tableColumnId="1"/>
      <queryTableField id="7" dataBound="0" tableColumnId="7"/>
      <queryTableField id="6" dataBound="0" tableColumnId="6"/>
      <queryTableField id="8" dataBound="0" tableColumnId="8"/>
      <queryTableField id="5" dataBound="0" tableColumnId="5"/>
      <queryTableField id="2" name="wickets" tableColumnId="2"/>
      <queryTableField id="9" dataBound="0" tableColumnId="9"/>
      <queryTableField id="3" name="overs" tableColumnId="3"/>
      <queryTableField id="4" name="runs_conceded"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 xr16:uid="{645DCE96-00E3-9E48-9296-4022AF470A57}" autoFormatId="16" applyNumberFormats="0" applyBorderFormats="0" applyFontFormats="0" applyPatternFormats="0" applyAlignmentFormats="0" applyWidthHeightFormats="0">
  <queryTableRefresh nextId="4">
    <queryTableFields count="3">
      <queryTableField id="1" name="player_name" tableColumnId="1"/>
      <queryTableField id="2" name="team" tableColumnId="2"/>
      <queryTableField id="3" name="auction_price"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 xr10:uid="{1E55DF21-F4BD-9045-9274-3C3AE465FDEC}" sourceName="role">
  <pivotTables>
    <pivotTable tabId="13" name="PivotTable3"/>
  </pivotTables>
  <data>
    <tabular pivotCacheId="1080384385">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all" xr10:uid="{0ABC0285-FEDE-C741-A6E2-ACFF5EBD8450}" sourceName="overall">
  <pivotTables>
    <pivotTable tabId="13" name="PivotTable3"/>
  </pivotTables>
  <data>
    <tabular pivotCacheId="108038438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le" xr10:uid="{7447A8D0-2438-FB47-B493-7097B7D924DE}" cache="Slicer_role" caption="role" rowHeight="251883"/>
  <slicer name="overall" xr10:uid="{6930F307-53DE-4F4D-92E6-1FA4EC5D7F54}" cache="Slicer_overall" caption="overall"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9EC094-04C4-A644-8B70-B68565A1DBAB}" name="players" displayName="players" ref="A3:J91" tableType="queryTable" headerRowDxfId="2" dataDxfId="53" headerRowBorderDxfId="3" tableBorderDxfId="59" totalsRowBorderDxfId="58">
  <autoFilter ref="A3:J91" xr:uid="{759EC094-04C4-A644-8B70-B68565A1DBAB}"/>
  <tableColumns count="10">
    <tableColumn id="1" xr3:uid="{BECBDC86-1DEC-574A-A33C-62741820A7D5}" uniqueName="1" name="player_id" totalsRowLabel="Total" queryTableFieldId="1" dataDxfId="57" totalsRowDxfId="4"/>
    <tableColumn id="2" xr3:uid="{09E9E498-3401-7348-A603-F143F90EB9D4}" uniqueName="2" name="player_name" queryTableFieldId="2" dataDxfId="56" totalsRowDxfId="5"/>
    <tableColumn id="3" xr3:uid="{E75246E0-8C94-634C-B70C-92B74D7A1417}" uniqueName="3" name="role" queryTableFieldId="3" dataDxfId="55" totalsRowDxfId="6"/>
    <tableColumn id="9" xr3:uid="{ADFFD3A7-E6EC-5E4A-8D66-21169007889D}" uniqueName="9" name="auction_price" queryTableFieldId="9" dataDxfId="13" totalsRowDxfId="7"/>
    <tableColumn id="6" xr3:uid="{3C319BC1-BBD3-074E-9AA9-523BCB479FBC}" uniqueName="6" name="Batting avg" queryTableFieldId="6" dataDxfId="16" totalsRowDxfId="8"/>
    <tableColumn id="7" xr3:uid="{52EF4D2E-AD0F-9F40-9C18-CA0E98CBC671}" uniqueName="7" name="Economy" queryTableFieldId="7" dataDxfId="15" totalsRowDxfId="9"/>
    <tableColumn id="8" xr3:uid="{D0FAA3B5-D059-DC46-B12A-E02FAA58A426}" uniqueName="8" name="Avg Wicket/match" queryTableFieldId="8" dataDxfId="14" totalsRowDxfId="10"/>
    <tableColumn id="10" xr3:uid="{A0965DA8-688B-6D49-B474-C8DDDFFB53FD}" uniqueName="10" name="Rating" queryTableFieldId="10" dataDxfId="0" totalsRowDxfId="1">
      <calculatedColumnFormula>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calculatedColumnFormula>
    </tableColumn>
    <tableColumn id="5" xr3:uid="{B90869EC-FC76-CA47-B512-13F18D2A9AF7}" uniqueName="5" name="overall" queryTableFieldId="5" dataDxfId="17" totalsRowDxfId="11">
      <calculatedColumnFormula>IF(AND(players[[#This Row],[Rating]]&gt;7,players[[#This Row],[auction_price]]&lt;40000000),"Underatted",IF(AND(players[[#This Row],[Rating]]&lt;5,players[[#This Row],[auction_price]]&gt;40000000),"Overrated","Perfectly rated"))</calculatedColumnFormula>
    </tableColumn>
    <tableColumn id="4" xr3:uid="{4B33E4AC-A14F-3C42-A83A-2456F016EF16}" uniqueName="4" name="nationality" totalsRowFunction="count" queryTableFieldId="4" dataDxfId="54" totalsRowDxfId="12"/>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682265-34FC-4340-9321-71D87C18BDE0}" name="matches" displayName="matches" ref="A3:E253" tableType="queryTable" totalsRowShown="0" headerRowDxfId="52" dataDxfId="47">
  <autoFilter ref="A3:E253" xr:uid="{35682265-34FC-4340-9321-71D87C18BDE0}"/>
  <tableColumns count="5">
    <tableColumn id="1" xr3:uid="{70B17F00-EA92-694C-AAA3-6B2CEC0BF219}" uniqueName="1" name="match_id" queryTableFieldId="1" dataDxfId="51"/>
    <tableColumn id="2" xr3:uid="{8BA3ABA2-833A-4448-98CF-18ABF6C1176F}" uniqueName="2" name="season" queryTableFieldId="2" dataDxfId="50"/>
    <tableColumn id="3" xr3:uid="{EF98A9B4-0092-F04D-BBE5-A71809F05121}" uniqueName="3" name="venue" queryTableFieldId="3" dataDxfId="49"/>
    <tableColumn id="5" xr3:uid="{AAA878B3-9FDC-6B4E-B5AC-1BD09825A217}" uniqueName="5" name="Opponent" queryTableFieldId="5" dataDxfId="28"/>
    <tableColumn id="4" xr3:uid="{3918D5D0-A9CC-B84B-98C1-6C12CBB9A219}" uniqueName="4" name="winner" queryTableFieldId="4" dataDxfId="48"/>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A75E7E-5440-DA4A-9AD5-24E0C0575CBB}" name="batting_stats" displayName="batting_stats" ref="A3:J78" tableType="queryTable" totalsRowShown="0" headerRowDxfId="42" dataDxfId="43">
  <autoFilter ref="A3:J78" xr:uid="{9FA75E7E-5440-DA4A-9AD5-24E0C0575CBB}"/>
  <tableColumns count="10">
    <tableColumn id="1" xr3:uid="{A4D965B9-8B7D-ED4F-B0E2-80F52056F83C}" uniqueName="1" name="player_id" queryTableFieldId="1" dataDxfId="46"/>
    <tableColumn id="8" xr3:uid="{644574B8-33F0-9644-93CF-80823A73F88B}" uniqueName="8" name="player_name" queryTableFieldId="8" dataDxfId="27">
      <calculatedColumnFormula>VLOOKUP(batting_stats[[#This Row],[player_id]],'players '!A4:J91,2)</calculatedColumnFormula>
    </tableColumn>
    <tableColumn id="10" xr3:uid="{C1D673DD-53B5-F140-BFC4-F4AAA967B023}" uniqueName="10" name="team" queryTableFieldId="9" dataDxfId="23">
      <calculatedColumnFormula>VLOOKUP(batting_stats[[#This Row],[player_name]],auction_data[#All],2,0)</calculatedColumnFormula>
    </tableColumn>
    <tableColumn id="11" xr3:uid="{4B48C86E-A1AC-D945-B3A9-35072CDF171C}" uniqueName="11" name="matches_played" queryTableFieldId="10" dataDxfId="26">
      <calculatedColumnFormula>VLOOKUP(batting_stats[[#This Row],[team]],Teams!$A$3:$E$11,5,0)</calculatedColumnFormula>
    </tableColumn>
    <tableColumn id="2" xr3:uid="{10C9479B-2DAE-9A4A-B6F4-61FF7BBB5647}" uniqueName="2" name="runs" queryTableFieldId="2" dataDxfId="45"/>
    <tableColumn id="3" xr3:uid="{CB19F59C-B712-9D46-BB5B-ED5A25FFD01E}" uniqueName="3" name="balls" queryTableFieldId="3" dataDxfId="33"/>
    <tableColumn id="6" xr3:uid="{DE5A76C2-A1C5-0F4C-B788-03E36904FBE9}" uniqueName="6" name="Strike rate" queryTableFieldId="6" dataDxfId="31">
      <calculatedColumnFormula>(batting_stats[[#This Row],[runs]])*100/(batting_stats[[#This Row],[balls]])</calculatedColumnFormula>
    </tableColumn>
    <tableColumn id="7" xr3:uid="{03A3A57B-EC73-2D47-96F0-14530613EE12}" uniqueName="7" name="Batting avg" queryTableFieldId="7" dataDxfId="25">
      <calculatedColumnFormula>batting_stats[[#This Row],[runs]]/batting_stats[[#This Row],[matches_played]]</calculatedColumnFormula>
    </tableColumn>
    <tableColumn id="4" xr3:uid="{AFE7DC52-1918-2143-AADA-5C2F71100E57}" uniqueName="4" name="fours" queryTableFieldId="4" dataDxfId="32"/>
    <tableColumn id="5" xr3:uid="{2BD6D1C2-1D05-3A4B-83FF-515E2F1C3248}" uniqueName="5" name="sixes" queryTableFieldId="5" dataDxfId="44"/>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85D9DB5-438B-E343-94BA-4594E59ABB41}" name="bowling_stats" displayName="bowling_stats" ref="A3:I52" tableType="queryTable" totalsRowShown="0" headerRowDxfId="39" dataDxfId="40">
  <autoFilter ref="A3:I52" xr:uid="{B85D9DB5-438B-E343-94BA-4594E59ABB41}"/>
  <tableColumns count="9">
    <tableColumn id="1" xr3:uid="{D8517754-6CE6-974D-B908-1E83DDC569E7}" uniqueName="1" name="player_id" queryTableFieldId="1" dataDxfId="30"/>
    <tableColumn id="7" xr3:uid="{3842A931-FD68-B746-A535-C48D2F3CA2FC}" uniqueName="7" name="player_name" queryTableFieldId="7" dataDxfId="24">
      <calculatedColumnFormula>VLOOKUP(bowling_stats[[#This Row],[player_id]],'players '!A4:J91,2)</calculatedColumnFormula>
    </tableColumn>
    <tableColumn id="6" xr3:uid="{55657542-C9B5-1B49-8958-15771844DADC}" uniqueName="6" name="team" queryTableFieldId="6" dataDxfId="22">
      <calculatedColumnFormula>VLOOKUP(bowling_stats[[#This Row],[player_name]],auction_data[#All],2,0)</calculatedColumnFormula>
    </tableColumn>
    <tableColumn id="8" xr3:uid="{10819F54-6FBC-6C48-B8A6-D40D1B743819}" uniqueName="8" name="matches_played" queryTableFieldId="8" dataDxfId="21">
      <calculatedColumnFormula>VLOOKUP(bowling_stats[[#This Row],[team]],Teams!$A$3:$E$11,5,0)</calculatedColumnFormula>
    </tableColumn>
    <tableColumn id="5" xr3:uid="{793C998A-ED39-2047-84BC-20C823CAD59B}" uniqueName="5" name="Economy" queryTableFieldId="5" dataDxfId="29">
      <calculatedColumnFormula>(bowling_stats[[#This Row],[runs_conceded]])/bowling_stats[[#This Row],[overs]]</calculatedColumnFormula>
    </tableColumn>
    <tableColumn id="2" xr3:uid="{244BADCF-187A-8E49-9F61-144DB6A19C41}" uniqueName="2" name="wickets" queryTableFieldId="2" dataDxfId="20"/>
    <tableColumn id="9" xr3:uid="{8DB0C5B9-DF7A-E045-98A0-C64BAC40C6A4}" uniqueName="9" name="Avg wickets/match" queryTableFieldId="9" dataDxfId="18">
      <calculatedColumnFormula>bowling_stats[[#This Row],[wickets]]/bowling_stats[[#This Row],[matches_played]]</calculatedColumnFormula>
    </tableColumn>
    <tableColumn id="3" xr3:uid="{AFBD738D-4900-A147-95E0-CAEE5CB43393}" uniqueName="3" name="overs" queryTableFieldId="3" dataDxfId="19"/>
    <tableColumn id="4" xr3:uid="{5F71E91C-BDEA-CE4C-BE6A-16A07DBB7D85}" uniqueName="4" name="runs_conceded" queryTableFieldId="4" dataDxfId="41"/>
  </tableColumns>
  <tableStyleInfo name="TableStyleMedium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5A47310-E597-3B4A-B199-BD8691584BF7}" name="auction_data" displayName="auction_data" ref="A3:C91" tableType="queryTable" totalsRowShown="0" headerRowDxfId="36" dataDxfId="37">
  <autoFilter ref="A3:C91" xr:uid="{F5A47310-E597-3B4A-B199-BD8691584BF7}"/>
  <tableColumns count="3">
    <tableColumn id="1" xr3:uid="{35F7318A-2794-4D45-9932-8FE0BDC514C9}" uniqueName="1" name="player_name" queryTableFieldId="1" dataDxfId="38"/>
    <tableColumn id="2" xr3:uid="{09CF306C-A1EC-134A-95CF-13DFC6FD1E85}" uniqueName="2" name="team" queryTableFieldId="2" dataDxfId="35"/>
    <tableColumn id="3" xr3:uid="{73FCCBA6-3973-EF4B-A4F7-FBDE180F2473}" uniqueName="3" name="auction_price" queryTableFieldId="3" dataDxfId="34"/>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0BAAD-6242-B447-BA6D-F244DDA89671}">
  <dimension ref="A1:J91"/>
  <sheetViews>
    <sheetView tabSelected="1" topLeftCell="A4" workbookViewId="0">
      <selection activeCell="K20" sqref="K20"/>
    </sheetView>
  </sheetViews>
  <sheetFormatPr baseColWidth="10" defaultRowHeight="16" x14ac:dyDescent="0.2"/>
  <cols>
    <col min="1" max="1" width="15" bestFit="1" customWidth="1"/>
    <col min="2" max="2" width="18.5" bestFit="1" customWidth="1"/>
    <col min="3" max="3" width="12.33203125" bestFit="1" customWidth="1"/>
    <col min="4" max="4" width="19.33203125" bestFit="1" customWidth="1"/>
    <col min="5" max="5" width="16.5" bestFit="1" customWidth="1"/>
    <col min="6" max="6" width="14.83203125" bestFit="1" customWidth="1"/>
    <col min="7" max="8" width="12.33203125" customWidth="1"/>
    <col min="9" max="9" width="13" bestFit="1" customWidth="1"/>
    <col min="10" max="10" width="11.33203125" bestFit="1" customWidth="1"/>
  </cols>
  <sheetData>
    <row r="1" spans="1:10" x14ac:dyDescent="0.2">
      <c r="A1" s="14" t="s">
        <v>186</v>
      </c>
      <c r="B1" s="14"/>
      <c r="C1" s="14"/>
      <c r="D1" s="14"/>
      <c r="E1" s="14"/>
      <c r="F1" s="14"/>
      <c r="G1" s="14"/>
      <c r="H1" s="14"/>
      <c r="I1" s="14"/>
      <c r="J1" s="14"/>
    </row>
    <row r="2" spans="1:10" x14ac:dyDescent="0.2">
      <c r="A2" s="14"/>
      <c r="B2" s="14"/>
      <c r="C2" s="14"/>
      <c r="D2" s="14"/>
      <c r="E2" s="14"/>
      <c r="F2" s="14"/>
      <c r="G2" s="14"/>
      <c r="H2" s="14"/>
      <c r="I2" s="14"/>
      <c r="J2" s="14"/>
    </row>
    <row r="3" spans="1:10" ht="19" x14ac:dyDescent="0.2">
      <c r="A3" s="7" t="s">
        <v>0</v>
      </c>
      <c r="B3" s="8" t="s">
        <v>1</v>
      </c>
      <c r="C3" s="8" t="s">
        <v>2</v>
      </c>
      <c r="D3" s="26" t="s">
        <v>465</v>
      </c>
      <c r="E3" s="26" t="s">
        <v>472</v>
      </c>
      <c r="F3" s="26" t="s">
        <v>471</v>
      </c>
      <c r="G3" s="26" t="s">
        <v>481</v>
      </c>
      <c r="H3" s="26" t="s">
        <v>484</v>
      </c>
      <c r="I3" s="26" t="s">
        <v>480</v>
      </c>
      <c r="J3" s="9" t="s">
        <v>3</v>
      </c>
    </row>
    <row r="4" spans="1:10" x14ac:dyDescent="0.2">
      <c r="A4" s="1" t="s">
        <v>4</v>
      </c>
      <c r="B4" s="2" t="s">
        <v>5</v>
      </c>
      <c r="C4" s="2" t="s">
        <v>6</v>
      </c>
      <c r="D4" s="29">
        <f>VLOOKUP(players[[#This Row],[player_name]],auction_data[],3,0)</f>
        <v>2000000</v>
      </c>
      <c r="E4" s="27">
        <f>_xlfn.IFNA(VLOOKUP(players[[#This Row],[player_name]],batting_stats[[player_name]:[sixes]],7,0),0)</f>
        <v>82.811320754716988</v>
      </c>
      <c r="F4" s="27">
        <f>_xlfn.IFNA(VLOOKUP(players[[#This Row],[player_name]],bowling_stats[[player_name]:[runs_conceded]],4,0),0)</f>
        <v>0</v>
      </c>
      <c r="G4" s="28">
        <f>_xlfn.IFNA(VLOOKUP(players[[#This Row],[player_name]],bowling_stats[[player_name]:[runs_conceded]],6,0),0)</f>
        <v>0</v>
      </c>
      <c r="H4"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8.2811320754716995</v>
      </c>
      <c r="I4" s="3" t="str">
        <f>IF(AND(players[[#This Row],[Rating]]&gt;7,players[[#This Row],[auction_price]]&lt;40000000),"Underatted",IF(AND(players[[#This Row],[Rating]]&lt;5,players[[#This Row],[auction_price]]&gt;40000000),"Overrated","Perfectly rated"))</f>
        <v>Underatted</v>
      </c>
      <c r="J4" s="3" t="s">
        <v>7</v>
      </c>
    </row>
    <row r="5" spans="1:10" x14ac:dyDescent="0.2">
      <c r="A5" s="1" t="s">
        <v>8</v>
      </c>
      <c r="B5" s="2" t="s">
        <v>9</v>
      </c>
      <c r="C5" s="2" t="s">
        <v>6</v>
      </c>
      <c r="D5" s="29">
        <f>VLOOKUP(players[[#This Row],[player_name]],auction_data[],3,0)</f>
        <v>160000000</v>
      </c>
      <c r="E5" s="27">
        <f>_xlfn.IFNA(VLOOKUP(players[[#This Row],[player_name]],batting_stats[[player_name]:[sixes]],7,0),0)</f>
        <v>112.47169811320755</v>
      </c>
      <c r="F5" s="27">
        <f>_xlfn.IFNA(VLOOKUP(players[[#This Row],[player_name]],bowling_stats[[player_name]:[runs_conceded]],4,0),0)</f>
        <v>0</v>
      </c>
      <c r="G5" s="28">
        <f>_xlfn.IFNA(VLOOKUP(players[[#This Row],[player_name]],bowling_stats[[player_name]:[runs_conceded]],6,0),0)</f>
        <v>0</v>
      </c>
      <c r="H5"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11.247169811320756</v>
      </c>
      <c r="I5" s="3" t="str">
        <f>IF(AND(players[[#This Row],[Rating]]&gt;7,players[[#This Row],[auction_price]]&lt;40000000),"Underatted",IF(AND(players[[#This Row],[Rating]]&lt;5,players[[#This Row],[auction_price]]&gt;40000000),"Overrated","Perfectly rated"))</f>
        <v>Perfectly rated</v>
      </c>
      <c r="J5" s="3" t="s">
        <v>7</v>
      </c>
    </row>
    <row r="6" spans="1:10" x14ac:dyDescent="0.2">
      <c r="A6" s="1" t="s">
        <v>10</v>
      </c>
      <c r="B6" s="2" t="s">
        <v>11</v>
      </c>
      <c r="C6" s="2" t="s">
        <v>12</v>
      </c>
      <c r="D6" s="29">
        <f>VLOOKUP(players[[#This Row],[player_name]],auction_data[],3,0)</f>
        <v>170000000</v>
      </c>
      <c r="E6" s="27">
        <f>_xlfn.IFNA(VLOOKUP(players[[#This Row],[player_name]],batting_stats[[player_name]:[sixes]],7,0),0)</f>
        <v>6.2641509433962268</v>
      </c>
      <c r="F6" s="27">
        <f>_xlfn.IFNA(VLOOKUP(players[[#This Row],[player_name]],bowling_stats[[player_name]:[runs_conceded]],4,0),0)</f>
        <v>8.6597938144329909</v>
      </c>
      <c r="G6" s="28">
        <f>_xlfn.IFNA(VLOOKUP(players[[#This Row],[player_name]],bowling_stats[[player_name]:[runs_conceded]],6,0),0)</f>
        <v>1.3584905660377358</v>
      </c>
      <c r="H6"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6.6986967516047446</v>
      </c>
      <c r="I6" s="3" t="str">
        <f>IF(AND(players[[#This Row],[Rating]]&gt;7,players[[#This Row],[auction_price]]&lt;40000000),"Underatted",IF(AND(players[[#This Row],[Rating]]&lt;5,players[[#This Row],[auction_price]]&gt;40000000),"Overrated","Perfectly rated"))</f>
        <v>Perfectly rated</v>
      </c>
      <c r="J6" s="3" t="s">
        <v>7</v>
      </c>
    </row>
    <row r="7" spans="1:10" x14ac:dyDescent="0.2">
      <c r="A7" s="1" t="s">
        <v>13</v>
      </c>
      <c r="B7" s="2" t="s">
        <v>14</v>
      </c>
      <c r="C7" s="2" t="s">
        <v>15</v>
      </c>
      <c r="D7" s="29">
        <f>VLOOKUP(players[[#This Row],[player_name]],auction_data[],3,0)</f>
        <v>80000000</v>
      </c>
      <c r="E7" s="27">
        <f>_xlfn.IFNA(VLOOKUP(players[[#This Row],[player_name]],batting_stats[[player_name]:[sixes]],7,0),0)</f>
        <v>86.415094339622641</v>
      </c>
      <c r="F7" s="27">
        <f>_xlfn.IFNA(VLOOKUP(players[[#This Row],[player_name]],bowling_stats[[player_name]:[runs_conceded]],4,0),0)</f>
        <v>7.6370246085011182</v>
      </c>
      <c r="G7" s="28">
        <f>_xlfn.IFNA(VLOOKUP(players[[#This Row],[player_name]],bowling_stats[[player_name]:[runs_conceded]],6,0),0)</f>
        <v>1.679245283018868</v>
      </c>
      <c r="H7"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16.683730108480013</v>
      </c>
      <c r="I7" s="3" t="str">
        <f>IF(AND(players[[#This Row],[Rating]]&gt;7,players[[#This Row],[auction_price]]&lt;40000000),"Underatted",IF(AND(players[[#This Row],[Rating]]&lt;5,players[[#This Row],[auction_price]]&gt;40000000),"Overrated","Perfectly rated"))</f>
        <v>Perfectly rated</v>
      </c>
      <c r="J7" s="3" t="s">
        <v>7</v>
      </c>
    </row>
    <row r="8" spans="1:10" x14ac:dyDescent="0.2">
      <c r="A8" s="1" t="s">
        <v>16</v>
      </c>
      <c r="B8" s="2" t="s">
        <v>17</v>
      </c>
      <c r="C8" s="2" t="s">
        <v>18</v>
      </c>
      <c r="D8" s="29">
        <f>VLOOKUP(players[[#This Row],[player_name]],auction_data[],3,0)</f>
        <v>5000000</v>
      </c>
      <c r="E8" s="27">
        <f>_xlfn.IFNA(VLOOKUP(players[[#This Row],[player_name]],batting_stats[[player_name]:[sixes]],7,0),0)</f>
        <v>89.660377358490564</v>
      </c>
      <c r="F8" s="27">
        <f>_xlfn.IFNA(VLOOKUP(players[[#This Row],[player_name]],bowling_stats[[player_name]:[runs_conceded]],4,0),0)</f>
        <v>0</v>
      </c>
      <c r="G8" s="28">
        <f>_xlfn.IFNA(VLOOKUP(players[[#This Row],[player_name]],bowling_stats[[player_name]:[runs_conceded]],6,0),0)</f>
        <v>0</v>
      </c>
      <c r="H8"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8.9660377358490564</v>
      </c>
      <c r="I8" s="3" t="str">
        <f>IF(AND(players[[#This Row],[Rating]]&gt;7,players[[#This Row],[auction_price]]&lt;40000000),"Underatted",IF(AND(players[[#This Row],[Rating]]&lt;5,players[[#This Row],[auction_price]]&gt;40000000),"Overrated","Perfectly rated"))</f>
        <v>Underatted</v>
      </c>
      <c r="J8" s="3" t="s">
        <v>7</v>
      </c>
    </row>
    <row r="9" spans="1:10" x14ac:dyDescent="0.2">
      <c r="A9" s="1" t="s">
        <v>19</v>
      </c>
      <c r="B9" s="2" t="s">
        <v>20</v>
      </c>
      <c r="C9" s="2" t="s">
        <v>6</v>
      </c>
      <c r="D9" s="29">
        <f>VLOOKUP(players[[#This Row],[player_name]],auction_data[],3,0)</f>
        <v>50000000</v>
      </c>
      <c r="E9" s="27">
        <f>_xlfn.IFNA(VLOOKUP(players[[#This Row],[player_name]],batting_stats[[player_name]:[sixes]],7,0),0)</f>
        <v>74.377358490566039</v>
      </c>
      <c r="F9" s="27">
        <f>_xlfn.IFNA(VLOOKUP(players[[#This Row],[player_name]],bowling_stats[[player_name]:[runs_conceded]],4,0),0)</f>
        <v>0</v>
      </c>
      <c r="G9" s="28">
        <f>_xlfn.IFNA(VLOOKUP(players[[#This Row],[player_name]],bowling_stats[[player_name]:[runs_conceded]],6,0),0)</f>
        <v>0</v>
      </c>
      <c r="H9"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7.4377358490566037</v>
      </c>
      <c r="I9" s="3" t="str">
        <f>IF(AND(players[[#This Row],[Rating]]&gt;7,players[[#This Row],[auction_price]]&lt;40000000),"Underatted",IF(AND(players[[#This Row],[Rating]]&lt;5,players[[#This Row],[auction_price]]&gt;40000000),"Overrated","Perfectly rated"))</f>
        <v>Perfectly rated</v>
      </c>
      <c r="J9" s="3" t="s">
        <v>7</v>
      </c>
    </row>
    <row r="10" spans="1:10" x14ac:dyDescent="0.2">
      <c r="A10" s="1" t="s">
        <v>21</v>
      </c>
      <c r="B10" s="2" t="s">
        <v>22</v>
      </c>
      <c r="C10" s="2" t="s">
        <v>6</v>
      </c>
      <c r="D10" s="29">
        <f>VLOOKUP(players[[#This Row],[player_name]],auction_data[],3,0)</f>
        <v>70000000</v>
      </c>
      <c r="E10" s="27">
        <f>_xlfn.IFNA(VLOOKUP(players[[#This Row],[player_name]],batting_stats[[player_name]:[sixes]],7,0),0)</f>
        <v>36.188679245283019</v>
      </c>
      <c r="F10" s="27">
        <f>_xlfn.IFNA(VLOOKUP(players[[#This Row],[player_name]],bowling_stats[[player_name]:[runs_conceded]],4,0),0)</f>
        <v>0</v>
      </c>
      <c r="G10" s="28">
        <f>_xlfn.IFNA(VLOOKUP(players[[#This Row],[player_name]],bowling_stats[[player_name]:[runs_conceded]],6,0),0)</f>
        <v>0</v>
      </c>
      <c r="H10"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3.6188679245283017</v>
      </c>
      <c r="I10" s="3" t="str">
        <f>IF(AND(players[[#This Row],[Rating]]&gt;7,players[[#This Row],[auction_price]]&lt;40000000),"Underatted",IF(AND(players[[#This Row],[Rating]]&lt;5,players[[#This Row],[auction_price]]&gt;40000000),"Overrated","Perfectly rated"))</f>
        <v>Overrated</v>
      </c>
      <c r="J10" s="3" t="s">
        <v>23</v>
      </c>
    </row>
    <row r="11" spans="1:10" x14ac:dyDescent="0.2">
      <c r="A11" s="1" t="s">
        <v>24</v>
      </c>
      <c r="B11" s="2" t="s">
        <v>25</v>
      </c>
      <c r="C11" s="2" t="s">
        <v>12</v>
      </c>
      <c r="D11" s="29">
        <f>VLOOKUP(players[[#This Row],[player_name]],auction_data[],3,0)</f>
        <v>20000000</v>
      </c>
      <c r="E11" s="27">
        <f>_xlfn.IFNA(VLOOKUP(players[[#This Row],[player_name]],batting_stats[[player_name]:[sixes]],7,0),0)</f>
        <v>0</v>
      </c>
      <c r="F11" s="27">
        <f>_xlfn.IFNA(VLOOKUP(players[[#This Row],[player_name]],bowling_stats[[player_name]:[runs_conceded]],4,0),0)</f>
        <v>7.2037728433876991</v>
      </c>
      <c r="G11" s="28">
        <f>_xlfn.IFNA(VLOOKUP(players[[#This Row],[player_name]],bowling_stats[[player_name]:[runs_conceded]],6,0),0)</f>
        <v>2.7169811320754715</v>
      </c>
      <c r="H11"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9.5132082886877729</v>
      </c>
      <c r="I11" s="3" t="str">
        <f>IF(AND(players[[#This Row],[Rating]]&gt;7,players[[#This Row],[auction_price]]&lt;40000000),"Underatted",IF(AND(players[[#This Row],[Rating]]&lt;5,players[[#This Row],[auction_price]]&gt;40000000),"Overrated","Perfectly rated"))</f>
        <v>Underatted</v>
      </c>
      <c r="J11" s="3" t="s">
        <v>23</v>
      </c>
    </row>
    <row r="12" spans="1:10" x14ac:dyDescent="0.2">
      <c r="A12" s="1" t="s">
        <v>26</v>
      </c>
      <c r="B12" s="2" t="s">
        <v>27</v>
      </c>
      <c r="C12" s="2" t="s">
        <v>12</v>
      </c>
      <c r="D12" s="29">
        <f>VLOOKUP(players[[#This Row],[player_name]],auction_data[],3,0)</f>
        <v>150000000</v>
      </c>
      <c r="E12" s="27">
        <f>_xlfn.IFNA(VLOOKUP(players[[#This Row],[player_name]],batting_stats[[player_name]:[sixes]],7,0),0)</f>
        <v>6.6037735849056602</v>
      </c>
      <c r="F12" s="27">
        <f>_xlfn.IFNA(VLOOKUP(players[[#This Row],[player_name]],bowling_stats[[player_name]:[runs_conceded]],4,0),0)</f>
        <v>7.9133323267401483</v>
      </c>
      <c r="G12" s="28">
        <f>_xlfn.IFNA(VLOOKUP(players[[#This Row],[player_name]],bowling_stats[[player_name]:[runs_conceded]],6,0),0)</f>
        <v>2.641509433962264</v>
      </c>
      <c r="H12"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8.7281771072221161</v>
      </c>
      <c r="I12" s="3" t="str">
        <f>IF(AND(players[[#This Row],[Rating]]&gt;7,players[[#This Row],[auction_price]]&lt;40000000),"Underatted",IF(AND(players[[#This Row],[Rating]]&lt;5,players[[#This Row],[auction_price]]&gt;40000000),"Overrated","Perfectly rated"))</f>
        <v>Perfectly rated</v>
      </c>
      <c r="J12" s="3" t="s">
        <v>7</v>
      </c>
    </row>
    <row r="13" spans="1:10" x14ac:dyDescent="0.2">
      <c r="A13" s="1" t="s">
        <v>28</v>
      </c>
      <c r="B13" s="2" t="s">
        <v>29</v>
      </c>
      <c r="C13" s="2" t="s">
        <v>12</v>
      </c>
      <c r="D13" s="29">
        <f>VLOOKUP(players[[#This Row],[player_name]],auction_data[],3,0)</f>
        <v>120000000</v>
      </c>
      <c r="E13" s="27">
        <f>_xlfn.IFNA(VLOOKUP(players[[#This Row],[player_name]],batting_stats[[player_name]:[sixes]],7,0),0)</f>
        <v>0</v>
      </c>
      <c r="F13" s="27">
        <f>_xlfn.IFNA(VLOOKUP(players[[#This Row],[player_name]],bowling_stats[[player_name]:[runs_conceded]],4,0),0)</f>
        <v>8.0677387914230021</v>
      </c>
      <c r="G13" s="28">
        <f>_xlfn.IFNA(VLOOKUP(players[[#This Row],[player_name]],bowling_stats[[player_name]:[runs_conceded]],6,0),0)</f>
        <v>1.8867924528301887</v>
      </c>
      <c r="H13"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7.8190536614071871</v>
      </c>
      <c r="I13" s="3" t="str">
        <f>IF(AND(players[[#This Row],[Rating]]&gt;7,players[[#This Row],[auction_price]]&lt;40000000),"Underatted",IF(AND(players[[#This Row],[Rating]]&lt;5,players[[#This Row],[auction_price]]&gt;40000000),"Overrated","Perfectly rated"))</f>
        <v>Perfectly rated</v>
      </c>
      <c r="J13" s="3" t="s">
        <v>7</v>
      </c>
    </row>
    <row r="14" spans="1:10" x14ac:dyDescent="0.2">
      <c r="A14" s="1" t="s">
        <v>30</v>
      </c>
      <c r="B14" s="2" t="s">
        <v>31</v>
      </c>
      <c r="C14" s="2" t="s">
        <v>15</v>
      </c>
      <c r="D14" s="29">
        <f>VLOOKUP(players[[#This Row],[player_name]],auction_data[],3,0)</f>
        <v>40000000</v>
      </c>
      <c r="E14" s="27">
        <f>_xlfn.IFNA(VLOOKUP(players[[#This Row],[player_name]],batting_stats[[player_name]:[sixes]],7,0),0)</f>
        <v>85.471698113207552</v>
      </c>
      <c r="F14" s="27">
        <f>_xlfn.IFNA(VLOOKUP(players[[#This Row],[player_name]],bowling_stats[[player_name]:[runs_conceded]],4,0),0)</f>
        <v>7.5706573515401718</v>
      </c>
      <c r="G14" s="28">
        <f>_xlfn.IFNA(VLOOKUP(players[[#This Row],[player_name]],bowling_stats[[player_name]:[runs_conceded]],6,0),0)</f>
        <v>1.4339622641509433</v>
      </c>
      <c r="H14"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16.410474723931525</v>
      </c>
      <c r="I14" s="3" t="str">
        <f>IF(AND(players[[#This Row],[Rating]]&gt;7,players[[#This Row],[auction_price]]&lt;40000000),"Underatted",IF(AND(players[[#This Row],[Rating]]&lt;5,players[[#This Row],[auction_price]]&gt;40000000),"Overrated","Perfectly rated"))</f>
        <v>Perfectly rated</v>
      </c>
      <c r="J14" s="3" t="s">
        <v>7</v>
      </c>
    </row>
    <row r="15" spans="1:10" x14ac:dyDescent="0.2">
      <c r="A15" s="1" t="s">
        <v>32</v>
      </c>
      <c r="B15" s="2" t="s">
        <v>33</v>
      </c>
      <c r="C15" s="2" t="s">
        <v>18</v>
      </c>
      <c r="D15" s="29">
        <f>VLOOKUP(players[[#This Row],[player_name]],auction_data[],3,0)</f>
        <v>170000000</v>
      </c>
      <c r="E15" s="27">
        <f>_xlfn.IFNA(VLOOKUP(players[[#This Row],[player_name]],batting_stats[[player_name]:[sixes]],7,0),0)</f>
        <v>57.847222222222221</v>
      </c>
      <c r="F15" s="27">
        <f>_xlfn.IFNA(VLOOKUP(players[[#This Row],[player_name]],bowling_stats[[player_name]:[runs_conceded]],4,0),0)</f>
        <v>0</v>
      </c>
      <c r="G15" s="28">
        <f>_xlfn.IFNA(VLOOKUP(players[[#This Row],[player_name]],bowling_stats[[player_name]:[runs_conceded]],6,0),0)</f>
        <v>0</v>
      </c>
      <c r="H15"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5.7847222222222223</v>
      </c>
      <c r="I15" s="3" t="str">
        <f>IF(AND(players[[#This Row],[Rating]]&gt;7,players[[#This Row],[auction_price]]&lt;40000000),"Underatted",IF(AND(players[[#This Row],[Rating]]&lt;5,players[[#This Row],[auction_price]]&gt;40000000),"Overrated","Perfectly rated"))</f>
        <v>Perfectly rated</v>
      </c>
      <c r="J15" s="3" t="s">
        <v>7</v>
      </c>
    </row>
    <row r="16" spans="1:10" x14ac:dyDescent="0.2">
      <c r="A16" s="1" t="s">
        <v>34</v>
      </c>
      <c r="B16" s="2" t="s">
        <v>35</v>
      </c>
      <c r="C16" s="2" t="s">
        <v>6</v>
      </c>
      <c r="D16" s="29">
        <f>VLOOKUP(players[[#This Row],[player_name]],auction_data[],3,0)</f>
        <v>2000000</v>
      </c>
      <c r="E16" s="27">
        <f>_xlfn.IFNA(VLOOKUP(players[[#This Row],[player_name]],batting_stats[[player_name]:[sixes]],7,0),0)</f>
        <v>54.486111111111114</v>
      </c>
      <c r="F16" s="27">
        <f>_xlfn.IFNA(VLOOKUP(players[[#This Row],[player_name]],bowling_stats[[player_name]:[runs_conceded]],4,0),0)</f>
        <v>0</v>
      </c>
      <c r="G16" s="28">
        <f>_xlfn.IFNA(VLOOKUP(players[[#This Row],[player_name]],bowling_stats[[player_name]:[runs_conceded]],6,0),0)</f>
        <v>0</v>
      </c>
      <c r="H16"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5.4486111111111111</v>
      </c>
      <c r="I16" s="3" t="str">
        <f>IF(AND(players[[#This Row],[Rating]]&gt;7,players[[#This Row],[auction_price]]&lt;40000000),"Underatted",IF(AND(players[[#This Row],[Rating]]&lt;5,players[[#This Row],[auction_price]]&gt;40000000),"Overrated","Perfectly rated"))</f>
        <v>Perfectly rated</v>
      </c>
      <c r="J16" s="3" t="s">
        <v>7</v>
      </c>
    </row>
    <row r="17" spans="1:10" x14ac:dyDescent="0.2">
      <c r="A17" s="1" t="s">
        <v>36</v>
      </c>
      <c r="B17" s="2" t="s">
        <v>37</v>
      </c>
      <c r="C17" s="2" t="s">
        <v>15</v>
      </c>
      <c r="D17" s="29">
        <f>VLOOKUP(players[[#This Row],[player_name]],auction_data[],3,0)</f>
        <v>160000000</v>
      </c>
      <c r="E17" s="27">
        <f>_xlfn.IFNA(VLOOKUP(players[[#This Row],[player_name]],batting_stats[[player_name]:[sixes]],7,0),0)</f>
        <v>28.416666666666668</v>
      </c>
      <c r="F17" s="27">
        <f>_xlfn.IFNA(VLOOKUP(players[[#This Row],[player_name]],bowling_stats[[player_name]:[runs_conceded]],4,0),0)</f>
        <v>7.3594212430121662</v>
      </c>
      <c r="G17" s="28">
        <f>_xlfn.IFNA(VLOOKUP(players[[#This Row],[player_name]],bowling_stats[[player_name]:[runs_conceded]],6,0),0)</f>
        <v>2.3055555555555554</v>
      </c>
      <c r="H17"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11.787800979210056</v>
      </c>
      <c r="I17" s="3" t="str">
        <f>IF(AND(players[[#This Row],[Rating]]&gt;7,players[[#This Row],[auction_price]]&lt;40000000),"Underatted",IF(AND(players[[#This Row],[Rating]]&lt;5,players[[#This Row],[auction_price]]&gt;40000000),"Overrated","Perfectly rated"))</f>
        <v>Perfectly rated</v>
      </c>
      <c r="J17" s="3" t="s">
        <v>7</v>
      </c>
    </row>
    <row r="18" spans="1:10" x14ac:dyDescent="0.2">
      <c r="A18" s="1" t="s">
        <v>38</v>
      </c>
      <c r="B18" s="2" t="s">
        <v>39</v>
      </c>
      <c r="C18" s="2" t="s">
        <v>15</v>
      </c>
      <c r="D18" s="29">
        <f>VLOOKUP(players[[#This Row],[player_name]],auction_data[],3,0)</f>
        <v>120000000</v>
      </c>
      <c r="E18" s="27">
        <f>_xlfn.IFNA(VLOOKUP(players[[#This Row],[player_name]],batting_stats[[player_name]:[sixes]],7,0),0)</f>
        <v>61.194444444444443</v>
      </c>
      <c r="F18" s="27">
        <f>_xlfn.IFNA(VLOOKUP(players[[#This Row],[player_name]],bowling_stats[[player_name]:[runs_conceded]],4,0),0)</f>
        <v>8.2443531827515404</v>
      </c>
      <c r="G18" s="28">
        <f>_xlfn.IFNA(VLOOKUP(players[[#This Row],[player_name]],bowling_stats[[player_name]:[runs_conceded]],6,0),0)</f>
        <v>0.70833333333333337</v>
      </c>
      <c r="H18"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12.583424595026237</v>
      </c>
      <c r="I18" s="3" t="str">
        <f>IF(AND(players[[#This Row],[Rating]]&gt;7,players[[#This Row],[auction_price]]&lt;40000000),"Underatted",IF(AND(players[[#This Row],[Rating]]&lt;5,players[[#This Row],[auction_price]]&gt;40000000),"Overrated","Perfectly rated"))</f>
        <v>Perfectly rated</v>
      </c>
      <c r="J18" s="3" t="s">
        <v>7</v>
      </c>
    </row>
    <row r="19" spans="1:10" x14ac:dyDescent="0.2">
      <c r="A19" s="1" t="s">
        <v>40</v>
      </c>
      <c r="B19" s="2" t="s">
        <v>41</v>
      </c>
      <c r="C19" s="2" t="s">
        <v>12</v>
      </c>
      <c r="D19" s="29">
        <f>VLOOKUP(players[[#This Row],[player_name]],auction_data[],3,0)</f>
        <v>20000000</v>
      </c>
      <c r="E19" s="27">
        <f>_xlfn.IFNA(VLOOKUP(players[[#This Row],[player_name]],batting_stats[[player_name]:[sixes]],7,0),0)</f>
        <v>0</v>
      </c>
      <c r="F19" s="27">
        <f>_xlfn.IFNA(VLOOKUP(players[[#This Row],[player_name]],bowling_stats[[player_name]:[runs_conceded]],4,0),0)</f>
        <v>7.6233766233766236</v>
      </c>
      <c r="G19" s="28">
        <f>_xlfn.IFNA(VLOOKUP(players[[#This Row],[player_name]],bowling_stats[[player_name]:[runs_conceded]],6,0),0)</f>
        <v>1.875</v>
      </c>
      <c r="H19"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8.2516233766233764</v>
      </c>
      <c r="I19" s="3" t="str">
        <f>IF(AND(players[[#This Row],[Rating]]&gt;7,players[[#This Row],[auction_price]]&lt;40000000),"Underatted",IF(AND(players[[#This Row],[Rating]]&lt;5,players[[#This Row],[auction_price]]&gt;40000000),"Overrated","Perfectly rated"))</f>
        <v>Underatted</v>
      </c>
      <c r="J19" s="3" t="s">
        <v>23</v>
      </c>
    </row>
    <row r="20" spans="1:10" x14ac:dyDescent="0.2">
      <c r="A20" s="1" t="s">
        <v>42</v>
      </c>
      <c r="B20" s="2" t="s">
        <v>43</v>
      </c>
      <c r="C20" s="2" t="s">
        <v>12</v>
      </c>
      <c r="D20" s="29">
        <f>VLOOKUP(players[[#This Row],[player_name]],auction_data[],3,0)</f>
        <v>80000000</v>
      </c>
      <c r="E20" s="27">
        <f>_xlfn.IFNA(VLOOKUP(players[[#This Row],[player_name]],batting_stats[[player_name]:[sixes]],7,0),0)</f>
        <v>3.5138888888888888</v>
      </c>
      <c r="F20" s="27">
        <f>_xlfn.IFNA(VLOOKUP(players[[#This Row],[player_name]],bowling_stats[[player_name]:[runs_conceded]],4,0),0)</f>
        <v>8.5744954916273084</v>
      </c>
      <c r="G20" s="28">
        <f>_xlfn.IFNA(VLOOKUP(players[[#This Row],[player_name]],bowling_stats[[player_name]:[runs_conceded]],6,0),0)</f>
        <v>1.375</v>
      </c>
      <c r="H20"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6.8005045083726916</v>
      </c>
      <c r="I20" s="3" t="str">
        <f>IF(AND(players[[#This Row],[Rating]]&gt;7,players[[#This Row],[auction_price]]&lt;40000000),"Underatted",IF(AND(players[[#This Row],[Rating]]&lt;5,players[[#This Row],[auction_price]]&gt;40000000),"Overrated","Perfectly rated"))</f>
        <v>Perfectly rated</v>
      </c>
      <c r="J20" s="3" t="s">
        <v>7</v>
      </c>
    </row>
    <row r="21" spans="1:10" x14ac:dyDescent="0.2">
      <c r="A21" s="1" t="s">
        <v>44</v>
      </c>
      <c r="B21" s="2" t="s">
        <v>45</v>
      </c>
      <c r="C21" s="2" t="s">
        <v>12</v>
      </c>
      <c r="D21" s="29">
        <f>VLOOKUP(players[[#This Row],[player_name]],auction_data[],3,0)</f>
        <v>70000000</v>
      </c>
      <c r="E21" s="27">
        <f>_xlfn.IFNA(VLOOKUP(players[[#This Row],[player_name]],batting_stats[[player_name]:[sixes]],7,0),0)</f>
        <v>0</v>
      </c>
      <c r="F21" s="27">
        <f>_xlfn.IFNA(VLOOKUP(players[[#This Row],[player_name]],bowling_stats[[player_name]:[runs_conceded]],4,0),0)</f>
        <v>8.6186627479794264</v>
      </c>
      <c r="G21" s="28">
        <f>_xlfn.IFNA(VLOOKUP(players[[#This Row],[player_name]],bowling_stats[[player_name]:[runs_conceded]],6,0),0)</f>
        <v>1.3333333333333333</v>
      </c>
      <c r="H21"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6.7146705853539066</v>
      </c>
      <c r="I21" s="3" t="str">
        <f>IF(AND(players[[#This Row],[Rating]]&gt;7,players[[#This Row],[auction_price]]&lt;40000000),"Underatted",IF(AND(players[[#This Row],[Rating]]&lt;5,players[[#This Row],[auction_price]]&gt;40000000),"Overrated","Perfectly rated"))</f>
        <v>Perfectly rated</v>
      </c>
      <c r="J21" s="3" t="s">
        <v>7</v>
      </c>
    </row>
    <row r="22" spans="1:10" x14ac:dyDescent="0.2">
      <c r="A22" s="1" t="s">
        <v>46</v>
      </c>
      <c r="B22" s="2" t="s">
        <v>47</v>
      </c>
      <c r="C22" s="2" t="s">
        <v>6</v>
      </c>
      <c r="D22" s="29">
        <f>VLOOKUP(players[[#This Row],[player_name]],auction_data[],3,0)</f>
        <v>5000000</v>
      </c>
      <c r="E22" s="27">
        <f>_xlfn.IFNA(VLOOKUP(players[[#This Row],[player_name]],batting_stats[[player_name]:[sixes]],7,0),0)</f>
        <v>66.625</v>
      </c>
      <c r="F22" s="27">
        <f>_xlfn.IFNA(VLOOKUP(players[[#This Row],[player_name]],bowling_stats[[player_name]:[runs_conceded]],4,0),0)</f>
        <v>0</v>
      </c>
      <c r="G22" s="28">
        <f>_xlfn.IFNA(VLOOKUP(players[[#This Row],[player_name]],bowling_stats[[player_name]:[runs_conceded]],6,0),0)</f>
        <v>0</v>
      </c>
      <c r="H22"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6.6624999999999996</v>
      </c>
      <c r="I22" s="3" t="str">
        <f>IF(AND(players[[#This Row],[Rating]]&gt;7,players[[#This Row],[auction_price]]&lt;40000000),"Underatted",IF(AND(players[[#This Row],[Rating]]&lt;5,players[[#This Row],[auction_price]]&gt;40000000),"Overrated","Perfectly rated"))</f>
        <v>Perfectly rated</v>
      </c>
      <c r="J22" s="3" t="s">
        <v>7</v>
      </c>
    </row>
    <row r="23" spans="1:10" x14ac:dyDescent="0.2">
      <c r="A23" s="1" t="s">
        <v>48</v>
      </c>
      <c r="B23" s="2" t="s">
        <v>49</v>
      </c>
      <c r="C23" s="2" t="s">
        <v>15</v>
      </c>
      <c r="D23" s="29">
        <f>VLOOKUP(players[[#This Row],[player_name]],auction_data[],3,0)</f>
        <v>150000000</v>
      </c>
      <c r="E23" s="27">
        <f>_xlfn.IFNA(VLOOKUP(players[[#This Row],[player_name]],batting_stats[[player_name]:[sixes]],7,0),0)</f>
        <v>82.916666666666671</v>
      </c>
      <c r="F23" s="27">
        <f>_xlfn.IFNA(VLOOKUP(players[[#This Row],[player_name]],bowling_stats[[player_name]:[runs_conceded]],4,0),0)</f>
        <v>7.3537414965986398</v>
      </c>
      <c r="G23" s="28">
        <f>_xlfn.IFNA(VLOOKUP(players[[#This Row],[player_name]],bowling_stats[[player_name]:[runs_conceded]],6,0),0)</f>
        <v>0.52777777777777779</v>
      </c>
      <c r="H23"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15.465702947845806</v>
      </c>
      <c r="I23" s="3" t="str">
        <f>IF(AND(players[[#This Row],[Rating]]&gt;7,players[[#This Row],[auction_price]]&lt;40000000),"Underatted",IF(AND(players[[#This Row],[Rating]]&lt;5,players[[#This Row],[auction_price]]&gt;40000000),"Overrated","Perfectly rated"))</f>
        <v>Perfectly rated</v>
      </c>
      <c r="J23" s="3" t="s">
        <v>23</v>
      </c>
    </row>
    <row r="24" spans="1:10" x14ac:dyDescent="0.2">
      <c r="A24" s="1" t="s">
        <v>50</v>
      </c>
      <c r="B24" s="2" t="s">
        <v>51</v>
      </c>
      <c r="C24" s="2" t="s">
        <v>12</v>
      </c>
      <c r="D24" s="29">
        <f>VLOOKUP(players[[#This Row],[player_name]],auction_data[],3,0)</f>
        <v>40000000</v>
      </c>
      <c r="E24" s="27">
        <f>_xlfn.IFNA(VLOOKUP(players[[#This Row],[player_name]],batting_stats[[player_name]:[sixes]],7,0),0)</f>
        <v>1.4027777777777777</v>
      </c>
      <c r="F24" s="27">
        <f>_xlfn.IFNA(VLOOKUP(players[[#This Row],[player_name]],bowling_stats[[player_name]:[runs_conceded]],4,0),0)</f>
        <v>7.2725194330132608</v>
      </c>
      <c r="G24" s="28">
        <f>_xlfn.IFNA(VLOOKUP(players[[#This Row],[player_name]],bowling_stats[[player_name]:[runs_conceded]],6,0),0)</f>
        <v>1.2638888888888888</v>
      </c>
      <c r="H24"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7.9913694558756276</v>
      </c>
      <c r="I24" s="3" t="str">
        <f>IF(AND(players[[#This Row],[Rating]]&gt;7,players[[#This Row],[auction_price]]&lt;40000000),"Underatted",IF(AND(players[[#This Row],[Rating]]&lt;5,players[[#This Row],[auction_price]]&gt;40000000),"Overrated","Perfectly rated"))</f>
        <v>Perfectly rated</v>
      </c>
      <c r="J24" s="3" t="s">
        <v>23</v>
      </c>
    </row>
    <row r="25" spans="1:10" x14ac:dyDescent="0.2">
      <c r="A25" s="1" t="s">
        <v>52</v>
      </c>
      <c r="B25" s="2" t="s">
        <v>53</v>
      </c>
      <c r="C25" s="2" t="s">
        <v>6</v>
      </c>
      <c r="D25" s="29">
        <f>VLOOKUP(players[[#This Row],[player_name]],auction_data[],3,0)</f>
        <v>50000000</v>
      </c>
      <c r="E25" s="27">
        <f>_xlfn.IFNA(VLOOKUP(players[[#This Row],[player_name]],batting_stats[[player_name]:[sixes]],7,0),0)</f>
        <v>17.486111111111111</v>
      </c>
      <c r="F25" s="27">
        <f>_xlfn.IFNA(VLOOKUP(players[[#This Row],[player_name]],bowling_stats[[player_name]:[runs_conceded]],4,0),0)</f>
        <v>0</v>
      </c>
      <c r="G25" s="28">
        <f>_xlfn.IFNA(VLOOKUP(players[[#This Row],[player_name]],bowling_stats[[player_name]:[runs_conceded]],6,0),0)</f>
        <v>0</v>
      </c>
      <c r="H25"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1.7486111111111111</v>
      </c>
      <c r="I25" s="3" t="str">
        <f>IF(AND(players[[#This Row],[Rating]]&gt;7,players[[#This Row],[auction_price]]&lt;40000000),"Underatted",IF(AND(players[[#This Row],[Rating]]&lt;5,players[[#This Row],[auction_price]]&gt;40000000),"Overrated","Perfectly rated"))</f>
        <v>Overrated</v>
      </c>
      <c r="J25" s="3" t="s">
        <v>7</v>
      </c>
    </row>
    <row r="26" spans="1:10" x14ac:dyDescent="0.2">
      <c r="A26" s="1" t="s">
        <v>54</v>
      </c>
      <c r="B26" s="2" t="s">
        <v>55</v>
      </c>
      <c r="C26" s="2" t="s">
        <v>6</v>
      </c>
      <c r="D26" s="29">
        <f>VLOOKUP(players[[#This Row],[player_name]],auction_data[],3,0)</f>
        <v>120000000</v>
      </c>
      <c r="E26" s="27">
        <f>_xlfn.IFNA(VLOOKUP(players[[#This Row],[player_name]],batting_stats[[player_name]:[sixes]],7,0),0)</f>
        <v>84.442622950819668</v>
      </c>
      <c r="F26" s="27">
        <f>_xlfn.IFNA(VLOOKUP(players[[#This Row],[player_name]],bowling_stats[[player_name]:[runs_conceded]],4,0),0)</f>
        <v>0</v>
      </c>
      <c r="G26" s="28">
        <f>_xlfn.IFNA(VLOOKUP(players[[#This Row],[player_name]],bowling_stats[[player_name]:[runs_conceded]],6,0),0)</f>
        <v>0</v>
      </c>
      <c r="H26"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8.4442622950819661</v>
      </c>
      <c r="I26" s="3" t="str">
        <f>IF(AND(players[[#This Row],[Rating]]&gt;7,players[[#This Row],[auction_price]]&lt;40000000),"Underatted",IF(AND(players[[#This Row],[Rating]]&lt;5,players[[#This Row],[auction_price]]&gt;40000000),"Overrated","Perfectly rated"))</f>
        <v>Perfectly rated</v>
      </c>
      <c r="J26" s="3" t="s">
        <v>7</v>
      </c>
    </row>
    <row r="27" spans="1:10" x14ac:dyDescent="0.2">
      <c r="A27" s="1" t="s">
        <v>56</v>
      </c>
      <c r="B27" s="2" t="s">
        <v>57</v>
      </c>
      <c r="C27" s="2" t="s">
        <v>6</v>
      </c>
      <c r="D27" s="29">
        <f>VLOOKUP(players[[#This Row],[player_name]],auction_data[],3,0)</f>
        <v>40000000</v>
      </c>
      <c r="E27" s="27">
        <f>_xlfn.IFNA(VLOOKUP(players[[#This Row],[player_name]],batting_stats[[player_name]:[sixes]],7,0),0)</f>
        <v>36.622950819672134</v>
      </c>
      <c r="F27" s="27">
        <f>_xlfn.IFNA(VLOOKUP(players[[#This Row],[player_name]],bowling_stats[[player_name]:[runs_conceded]],4,0),0)</f>
        <v>0</v>
      </c>
      <c r="G27" s="28">
        <f>_xlfn.IFNA(VLOOKUP(players[[#This Row],[player_name]],bowling_stats[[player_name]:[runs_conceded]],6,0),0)</f>
        <v>0</v>
      </c>
      <c r="H27"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3.6622950819672133</v>
      </c>
      <c r="I27" s="3" t="str">
        <f>IF(AND(players[[#This Row],[Rating]]&gt;7,players[[#This Row],[auction_price]]&lt;40000000),"Underatted",IF(AND(players[[#This Row],[Rating]]&lt;5,players[[#This Row],[auction_price]]&gt;40000000),"Overrated","Perfectly rated"))</f>
        <v>Perfectly rated</v>
      </c>
      <c r="J27" s="3" t="s">
        <v>23</v>
      </c>
    </row>
    <row r="28" spans="1:10" x14ac:dyDescent="0.2">
      <c r="A28" s="1" t="s">
        <v>58</v>
      </c>
      <c r="B28" s="2" t="s">
        <v>59</v>
      </c>
      <c r="C28" s="2" t="s">
        <v>15</v>
      </c>
      <c r="D28" s="29">
        <f>VLOOKUP(players[[#This Row],[player_name]],auction_data[],3,0)</f>
        <v>80000000</v>
      </c>
      <c r="E28" s="27">
        <f>_xlfn.IFNA(VLOOKUP(players[[#This Row],[player_name]],batting_stats[[player_name]:[sixes]],7,0),0)</f>
        <v>45.442622950819676</v>
      </c>
      <c r="F28" s="27">
        <f>_xlfn.IFNA(VLOOKUP(players[[#This Row],[player_name]],bowling_stats[[player_name]:[runs_conceded]],4,0),0)</f>
        <v>7.6073030108904547</v>
      </c>
      <c r="G28" s="28">
        <f>_xlfn.IFNA(VLOOKUP(players[[#This Row],[player_name]],bowling_stats[[player_name]:[runs_conceded]],6,0),0)</f>
        <v>2.918032786885246</v>
      </c>
      <c r="H28"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13.854992071076758</v>
      </c>
      <c r="I28" s="3" t="str">
        <f>IF(AND(players[[#This Row],[Rating]]&gt;7,players[[#This Row],[auction_price]]&lt;40000000),"Underatted",IF(AND(players[[#This Row],[Rating]]&lt;5,players[[#This Row],[auction_price]]&gt;40000000),"Overrated","Perfectly rated"))</f>
        <v>Perfectly rated</v>
      </c>
      <c r="J28" s="3" t="s">
        <v>23</v>
      </c>
    </row>
    <row r="29" spans="1:10" x14ac:dyDescent="0.2">
      <c r="A29" s="1" t="s">
        <v>60</v>
      </c>
      <c r="B29" s="2" t="s">
        <v>61</v>
      </c>
      <c r="C29" s="2" t="s">
        <v>12</v>
      </c>
      <c r="D29" s="29">
        <f>VLOOKUP(players[[#This Row],[player_name]],auction_data[],3,0)</f>
        <v>170000000</v>
      </c>
      <c r="E29" s="27">
        <f>_xlfn.IFNA(VLOOKUP(players[[#This Row],[player_name]],batting_stats[[player_name]:[sixes]],7,0),0)</f>
        <v>0</v>
      </c>
      <c r="F29" s="27">
        <f>_xlfn.IFNA(VLOOKUP(players[[#This Row],[player_name]],bowling_stats[[player_name]:[runs_conceded]],4,0),0)</f>
        <v>8.282828282828282</v>
      </c>
      <c r="G29" s="28">
        <f>_xlfn.IFNA(VLOOKUP(players[[#This Row],[player_name]],bowling_stats[[player_name]:[runs_conceded]],6,0),0)</f>
        <v>2.1967213114754101</v>
      </c>
      <c r="H29"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7.9138930286471281</v>
      </c>
      <c r="I29" s="3" t="str">
        <f>IF(AND(players[[#This Row],[Rating]]&gt;7,players[[#This Row],[auction_price]]&lt;40000000),"Underatted",IF(AND(players[[#This Row],[Rating]]&lt;5,players[[#This Row],[auction_price]]&gt;40000000),"Overrated","Perfectly rated"))</f>
        <v>Perfectly rated</v>
      </c>
      <c r="J29" s="3" t="s">
        <v>7</v>
      </c>
    </row>
    <row r="30" spans="1:10" x14ac:dyDescent="0.2">
      <c r="A30" s="1" t="s">
        <v>62</v>
      </c>
      <c r="B30" s="2" t="s">
        <v>63</v>
      </c>
      <c r="C30" s="2" t="s">
        <v>6</v>
      </c>
      <c r="D30" s="29">
        <f>VLOOKUP(players[[#This Row],[player_name]],auction_data[],3,0)</f>
        <v>50000000</v>
      </c>
      <c r="E30" s="27">
        <f>_xlfn.IFNA(VLOOKUP(players[[#This Row],[player_name]],batting_stats[[player_name]:[sixes]],7,0),0)</f>
        <v>34.327868852459019</v>
      </c>
      <c r="F30" s="27">
        <f>_xlfn.IFNA(VLOOKUP(players[[#This Row],[player_name]],bowling_stats[[player_name]:[runs_conceded]],4,0),0)</f>
        <v>0</v>
      </c>
      <c r="G30" s="28">
        <f>_xlfn.IFNA(VLOOKUP(players[[#This Row],[player_name]],bowling_stats[[player_name]:[runs_conceded]],6,0),0)</f>
        <v>0</v>
      </c>
      <c r="H30"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3.432786885245902</v>
      </c>
      <c r="I30" s="3" t="str">
        <f>IF(AND(players[[#This Row],[Rating]]&gt;7,players[[#This Row],[auction_price]]&lt;40000000),"Underatted",IF(AND(players[[#This Row],[Rating]]&lt;5,players[[#This Row],[auction_price]]&gt;40000000),"Overrated","Perfectly rated"))</f>
        <v>Overrated</v>
      </c>
      <c r="J30" s="3" t="s">
        <v>7</v>
      </c>
    </row>
    <row r="31" spans="1:10" x14ac:dyDescent="0.2">
      <c r="A31" s="1" t="s">
        <v>64</v>
      </c>
      <c r="B31" s="2" t="s">
        <v>65</v>
      </c>
      <c r="C31" s="2" t="s">
        <v>18</v>
      </c>
      <c r="D31" s="29">
        <f>VLOOKUP(players[[#This Row],[player_name]],auction_data[],3,0)</f>
        <v>160000000</v>
      </c>
      <c r="E31" s="27">
        <f>_xlfn.IFNA(VLOOKUP(players[[#This Row],[player_name]],batting_stats[[player_name]:[sixes]],7,0),0)</f>
        <v>53.278688524590166</v>
      </c>
      <c r="F31" s="27">
        <f>_xlfn.IFNA(VLOOKUP(players[[#This Row],[player_name]],bowling_stats[[player_name]:[runs_conceded]],4,0),0)</f>
        <v>0</v>
      </c>
      <c r="G31" s="28">
        <f>_xlfn.IFNA(VLOOKUP(players[[#This Row],[player_name]],bowling_stats[[player_name]:[runs_conceded]],6,0),0)</f>
        <v>0</v>
      </c>
      <c r="H31"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5.3278688524590168</v>
      </c>
      <c r="I31" s="3" t="str">
        <f>IF(AND(players[[#This Row],[Rating]]&gt;7,players[[#This Row],[auction_price]]&lt;40000000),"Underatted",IF(AND(players[[#This Row],[Rating]]&lt;5,players[[#This Row],[auction_price]]&gt;40000000),"Overrated","Perfectly rated"))</f>
        <v>Perfectly rated</v>
      </c>
      <c r="J31" s="3" t="s">
        <v>7</v>
      </c>
    </row>
    <row r="32" spans="1:10" x14ac:dyDescent="0.2">
      <c r="A32" s="1" t="s">
        <v>66</v>
      </c>
      <c r="B32" s="2" t="s">
        <v>67</v>
      </c>
      <c r="C32" s="2" t="s">
        <v>15</v>
      </c>
      <c r="D32" s="29">
        <f>VLOOKUP(players[[#This Row],[player_name]],auction_data[],3,0)</f>
        <v>2000000</v>
      </c>
      <c r="E32" s="27">
        <f>_xlfn.IFNA(VLOOKUP(players[[#This Row],[player_name]],batting_stats[[player_name]:[sixes]],7,0),0)</f>
        <v>53.672131147540981</v>
      </c>
      <c r="F32" s="27">
        <f>_xlfn.IFNA(VLOOKUP(players[[#This Row],[player_name]],bowling_stats[[player_name]:[runs_conceded]],4,0),0)</f>
        <v>7.7710843373493983</v>
      </c>
      <c r="G32" s="28">
        <f>_xlfn.IFNA(VLOOKUP(players[[#This Row],[player_name]],bowling_stats[[player_name]:[runs_conceded]],6,0),0)</f>
        <v>1.2295081967213115</v>
      </c>
      <c r="H32"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12.825636974126011</v>
      </c>
      <c r="I32" s="3" t="str">
        <f>IF(AND(players[[#This Row],[Rating]]&gt;7,players[[#This Row],[auction_price]]&lt;40000000),"Underatted",IF(AND(players[[#This Row],[Rating]]&lt;5,players[[#This Row],[auction_price]]&gt;40000000),"Overrated","Perfectly rated"))</f>
        <v>Underatted</v>
      </c>
      <c r="J32" s="3" t="s">
        <v>23</v>
      </c>
    </row>
    <row r="33" spans="1:10" x14ac:dyDescent="0.2">
      <c r="A33" s="1" t="s">
        <v>68</v>
      </c>
      <c r="B33" s="2" t="s">
        <v>69</v>
      </c>
      <c r="C33" s="2" t="s">
        <v>18</v>
      </c>
      <c r="D33" s="29">
        <f>VLOOKUP(players[[#This Row],[player_name]],auction_data[],3,0)</f>
        <v>150000000</v>
      </c>
      <c r="E33" s="27">
        <f>_xlfn.IFNA(VLOOKUP(players[[#This Row],[player_name]],batting_stats[[player_name]:[sixes]],7,0),0)</f>
        <v>52.83606557377049</v>
      </c>
      <c r="F33" s="27">
        <f>_xlfn.IFNA(VLOOKUP(players[[#This Row],[player_name]],bowling_stats[[player_name]:[runs_conceded]],4,0),0)</f>
        <v>0</v>
      </c>
      <c r="G33" s="28">
        <f>_xlfn.IFNA(VLOOKUP(players[[#This Row],[player_name]],bowling_stats[[player_name]:[runs_conceded]],6,0),0)</f>
        <v>0</v>
      </c>
      <c r="H33"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5.2836065573770492</v>
      </c>
      <c r="I33" s="3" t="str">
        <f>IF(AND(players[[#This Row],[Rating]]&gt;7,players[[#This Row],[auction_price]]&lt;40000000),"Underatted",IF(AND(players[[#This Row],[Rating]]&lt;5,players[[#This Row],[auction_price]]&gt;40000000),"Overrated","Perfectly rated"))</f>
        <v>Perfectly rated</v>
      </c>
      <c r="J33" s="3" t="s">
        <v>7</v>
      </c>
    </row>
    <row r="34" spans="1:10" x14ac:dyDescent="0.2">
      <c r="A34" s="1" t="s">
        <v>70</v>
      </c>
      <c r="B34" s="2" t="s">
        <v>71</v>
      </c>
      <c r="C34" s="2" t="s">
        <v>12</v>
      </c>
      <c r="D34" s="29">
        <f>VLOOKUP(players[[#This Row],[player_name]],auction_data[],3,0)</f>
        <v>70000000</v>
      </c>
      <c r="E34" s="27">
        <f>_xlfn.IFNA(VLOOKUP(players[[#This Row],[player_name]],batting_stats[[player_name]:[sixes]],7,0),0)</f>
        <v>3.1147540983606556</v>
      </c>
      <c r="F34" s="27">
        <f>_xlfn.IFNA(VLOOKUP(players[[#This Row],[player_name]],bowling_stats[[player_name]:[runs_conceded]],4,0),0)</f>
        <v>8.3870967741935498</v>
      </c>
      <c r="G34" s="28">
        <f>_xlfn.IFNA(VLOOKUP(players[[#This Row],[player_name]],bowling_stats[[player_name]:[runs_conceded]],6,0),0)</f>
        <v>0.44262295081967212</v>
      </c>
      <c r="H34"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6.0555261766261221</v>
      </c>
      <c r="I34" s="3" t="str">
        <f>IF(AND(players[[#This Row],[Rating]]&gt;7,players[[#This Row],[auction_price]]&lt;40000000),"Underatted",IF(AND(players[[#This Row],[Rating]]&lt;5,players[[#This Row],[auction_price]]&gt;40000000),"Overrated","Perfectly rated"))</f>
        <v>Perfectly rated</v>
      </c>
      <c r="J34" s="3" t="s">
        <v>7</v>
      </c>
    </row>
    <row r="35" spans="1:10" x14ac:dyDescent="0.2">
      <c r="A35" s="1" t="s">
        <v>72</v>
      </c>
      <c r="B35" s="2" t="s">
        <v>73</v>
      </c>
      <c r="C35" s="2" t="s">
        <v>12</v>
      </c>
      <c r="D35" s="29">
        <f>VLOOKUP(players[[#This Row],[player_name]],auction_data[],3,0)</f>
        <v>5000000</v>
      </c>
      <c r="E35" s="27">
        <f>_xlfn.IFNA(VLOOKUP(players[[#This Row],[player_name]],batting_stats[[player_name]:[sixes]],7,0),0)</f>
        <v>3.2131147540983607</v>
      </c>
      <c r="F35" s="27">
        <f>_xlfn.IFNA(VLOOKUP(players[[#This Row],[player_name]],bowling_stats[[player_name]:[runs_conceded]],4,0),0)</f>
        <v>7.7633289986996097</v>
      </c>
      <c r="G35" s="28">
        <f>_xlfn.IFNA(VLOOKUP(players[[#This Row],[player_name]],bowling_stats[[player_name]:[runs_conceded]],6,0),0)</f>
        <v>1.1967213114754098</v>
      </c>
      <c r="H35"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7.4333923127758004</v>
      </c>
      <c r="I35" s="3" t="str">
        <f>IF(AND(players[[#This Row],[Rating]]&gt;7,players[[#This Row],[auction_price]]&lt;40000000),"Underatted",IF(AND(players[[#This Row],[Rating]]&lt;5,players[[#This Row],[auction_price]]&gt;40000000),"Overrated","Perfectly rated"))</f>
        <v>Underatted</v>
      </c>
      <c r="J35" s="3" t="s">
        <v>7</v>
      </c>
    </row>
    <row r="36" spans="1:10" x14ac:dyDescent="0.2">
      <c r="A36" s="1" t="s">
        <v>74</v>
      </c>
      <c r="B36" s="2" t="s">
        <v>75</v>
      </c>
      <c r="C36" s="2" t="s">
        <v>12</v>
      </c>
      <c r="D36" s="29">
        <f>VLOOKUP(players[[#This Row],[player_name]],auction_data[],3,0)</f>
        <v>20000000</v>
      </c>
      <c r="E36" s="27">
        <f>_xlfn.IFNA(VLOOKUP(players[[#This Row],[player_name]],batting_stats[[player_name]:[sixes]],7,0),0)</f>
        <v>6.0163934426229506</v>
      </c>
      <c r="F36" s="27">
        <f>_xlfn.IFNA(VLOOKUP(players[[#This Row],[player_name]],bowling_stats[[player_name]:[runs_conceded]],4,0),0)</f>
        <v>8.6419172932330817</v>
      </c>
      <c r="G36" s="28">
        <f>_xlfn.IFNA(VLOOKUP(players[[#This Row],[player_name]],bowling_stats[[player_name]:[runs_conceded]],6,0),0)</f>
        <v>0.81967213114754101</v>
      </c>
      <c r="H36"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6.1777548379144598</v>
      </c>
      <c r="I36" s="3" t="str">
        <f>IF(AND(players[[#This Row],[Rating]]&gt;7,players[[#This Row],[auction_price]]&lt;40000000),"Underatted",IF(AND(players[[#This Row],[Rating]]&lt;5,players[[#This Row],[auction_price]]&gt;40000000),"Overrated","Perfectly rated"))</f>
        <v>Perfectly rated</v>
      </c>
      <c r="J36" s="3" t="s">
        <v>7</v>
      </c>
    </row>
    <row r="37" spans="1:10" x14ac:dyDescent="0.2">
      <c r="A37" s="1" t="s">
        <v>76</v>
      </c>
      <c r="B37" s="2" t="s">
        <v>77</v>
      </c>
      <c r="C37" s="2" t="s">
        <v>6</v>
      </c>
      <c r="D37" s="29">
        <f>VLOOKUP(players[[#This Row],[player_name]],auction_data[],3,0)</f>
        <v>70000000</v>
      </c>
      <c r="E37" s="27">
        <f>_xlfn.IFNA(VLOOKUP(players[[#This Row],[player_name]],batting_stats[[player_name]:[sixes]],7,0),0)</f>
        <v>108.82142857142857</v>
      </c>
      <c r="F37" s="27">
        <f>_xlfn.IFNA(VLOOKUP(players[[#This Row],[player_name]],bowling_stats[[player_name]:[runs_conceded]],4,0),0)</f>
        <v>0</v>
      </c>
      <c r="G37" s="28">
        <f>_xlfn.IFNA(VLOOKUP(players[[#This Row],[player_name]],bowling_stats[[player_name]:[runs_conceded]],6,0),0)</f>
        <v>0</v>
      </c>
      <c r="H37"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10.882142857142856</v>
      </c>
      <c r="I37" s="3" t="str">
        <f>IF(AND(players[[#This Row],[Rating]]&gt;7,players[[#This Row],[auction_price]]&lt;40000000),"Underatted",IF(AND(players[[#This Row],[Rating]]&lt;5,players[[#This Row],[auction_price]]&gt;40000000),"Overrated","Perfectly rated"))</f>
        <v>Perfectly rated</v>
      </c>
      <c r="J37" s="3" t="s">
        <v>7</v>
      </c>
    </row>
    <row r="38" spans="1:10" x14ac:dyDescent="0.2">
      <c r="A38" s="1" t="s">
        <v>78</v>
      </c>
      <c r="B38" s="2" t="s">
        <v>79</v>
      </c>
      <c r="C38" s="2" t="s">
        <v>15</v>
      </c>
      <c r="D38" s="29">
        <f>VLOOKUP(players[[#This Row],[player_name]],auction_data[],3,0)</f>
        <v>160000000</v>
      </c>
      <c r="E38" s="27">
        <f>_xlfn.IFNA(VLOOKUP(players[[#This Row],[player_name]],batting_stats[[player_name]:[sixes]],7,0),0)</f>
        <v>67.642857142857139</v>
      </c>
      <c r="F38" s="27">
        <f>_xlfn.IFNA(VLOOKUP(players[[#This Row],[player_name]],bowling_stats[[player_name]:[runs_conceded]],4,0),0)</f>
        <v>7.4106041923551169</v>
      </c>
      <c r="G38" s="28">
        <f>_xlfn.IFNA(VLOOKUP(players[[#This Row],[player_name]],bowling_stats[[player_name]:[runs_conceded]],6,0),0)</f>
        <v>2.1607142857142856</v>
      </c>
      <c r="H38"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15.514395807644883</v>
      </c>
      <c r="I38" s="3" t="str">
        <f>IF(AND(players[[#This Row],[Rating]]&gt;7,players[[#This Row],[auction_price]]&lt;40000000),"Underatted",IF(AND(players[[#This Row],[Rating]]&lt;5,players[[#This Row],[auction_price]]&gt;40000000),"Overrated","Perfectly rated"))</f>
        <v>Perfectly rated</v>
      </c>
      <c r="J38" s="3" t="s">
        <v>23</v>
      </c>
    </row>
    <row r="39" spans="1:10" x14ac:dyDescent="0.2">
      <c r="A39" s="1" t="s">
        <v>80</v>
      </c>
      <c r="B39" s="2" t="s">
        <v>81</v>
      </c>
      <c r="C39" s="2" t="s">
        <v>15</v>
      </c>
      <c r="D39" s="29">
        <f>VLOOKUP(players[[#This Row],[player_name]],auction_data[],3,0)</f>
        <v>5000000</v>
      </c>
      <c r="E39" s="27">
        <f>_xlfn.IFNA(VLOOKUP(players[[#This Row],[player_name]],batting_stats[[player_name]:[sixes]],7,0),0)</f>
        <v>93.178571428571431</v>
      </c>
      <c r="F39" s="27">
        <f>_xlfn.IFNA(VLOOKUP(players[[#This Row],[player_name]],bowling_stats[[player_name]:[runs_conceded]],4,0),0)</f>
        <v>7.6091954022988508</v>
      </c>
      <c r="G39" s="28">
        <f>_xlfn.IFNA(VLOOKUP(players[[#This Row],[player_name]],bowling_stats[[player_name]:[runs_conceded]],6,0),0)</f>
        <v>1.5</v>
      </c>
      <c r="H39"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17.208661740558291</v>
      </c>
      <c r="I39" s="3" t="str">
        <f>IF(AND(players[[#This Row],[Rating]]&gt;7,players[[#This Row],[auction_price]]&lt;40000000),"Underatted",IF(AND(players[[#This Row],[Rating]]&lt;5,players[[#This Row],[auction_price]]&gt;40000000),"Overrated","Perfectly rated"))</f>
        <v>Underatted</v>
      </c>
      <c r="J39" s="3" t="s">
        <v>23</v>
      </c>
    </row>
    <row r="40" spans="1:10" x14ac:dyDescent="0.2">
      <c r="A40" s="1" t="s">
        <v>82</v>
      </c>
      <c r="B40" s="2" t="s">
        <v>83</v>
      </c>
      <c r="C40" s="2" t="s">
        <v>6</v>
      </c>
      <c r="D40" s="29">
        <f>VLOOKUP(players[[#This Row],[player_name]],auction_data[],3,0)</f>
        <v>50000000</v>
      </c>
      <c r="E40" s="27">
        <f>_xlfn.IFNA(VLOOKUP(players[[#This Row],[player_name]],batting_stats[[player_name]:[sixes]],7,0),0)</f>
        <v>84.767857142857139</v>
      </c>
      <c r="F40" s="27">
        <f>_xlfn.IFNA(VLOOKUP(players[[#This Row],[player_name]],bowling_stats[[player_name]:[runs_conceded]],4,0),0)</f>
        <v>0</v>
      </c>
      <c r="G40" s="28">
        <f>_xlfn.IFNA(VLOOKUP(players[[#This Row],[player_name]],bowling_stats[[player_name]:[runs_conceded]],6,0),0)</f>
        <v>0</v>
      </c>
      <c r="H40"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8.4767857142857146</v>
      </c>
      <c r="I40" s="3" t="str">
        <f>IF(AND(players[[#This Row],[Rating]]&gt;7,players[[#This Row],[auction_price]]&lt;40000000),"Underatted",IF(AND(players[[#This Row],[Rating]]&lt;5,players[[#This Row],[auction_price]]&gt;40000000),"Overrated","Perfectly rated"))</f>
        <v>Perfectly rated</v>
      </c>
      <c r="J40" s="3" t="s">
        <v>7</v>
      </c>
    </row>
    <row r="41" spans="1:10" x14ac:dyDescent="0.2">
      <c r="A41" s="1" t="s">
        <v>84</v>
      </c>
      <c r="B41" s="2" t="s">
        <v>85</v>
      </c>
      <c r="C41" s="2" t="s">
        <v>12</v>
      </c>
      <c r="D41" s="29">
        <f>VLOOKUP(players[[#This Row],[player_name]],auction_data[],3,0)</f>
        <v>170000000</v>
      </c>
      <c r="E41" s="27">
        <f>_xlfn.IFNA(VLOOKUP(players[[#This Row],[player_name]],batting_stats[[player_name]:[sixes]],7,0),0)</f>
        <v>5.1607142857142856</v>
      </c>
      <c r="F41" s="27">
        <f>_xlfn.IFNA(VLOOKUP(players[[#This Row],[player_name]],bowling_stats[[player_name]:[runs_conceded]],4,0),0)</f>
        <v>7.5598086124401913</v>
      </c>
      <c r="G41" s="28">
        <f>_xlfn.IFNA(VLOOKUP(players[[#This Row],[player_name]],bowling_stats[[player_name]:[runs_conceded]],6,0),0)</f>
        <v>0.9107142857142857</v>
      </c>
      <c r="H41"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7.3509056732740943</v>
      </c>
      <c r="I41" s="3" t="str">
        <f>IF(AND(players[[#This Row],[Rating]]&gt;7,players[[#This Row],[auction_price]]&lt;40000000),"Underatted",IF(AND(players[[#This Row],[Rating]]&lt;5,players[[#This Row],[auction_price]]&gt;40000000),"Overrated","Perfectly rated"))</f>
        <v>Perfectly rated</v>
      </c>
      <c r="J41" s="3" t="s">
        <v>23</v>
      </c>
    </row>
    <row r="42" spans="1:10" x14ac:dyDescent="0.2">
      <c r="A42" s="1" t="s">
        <v>86</v>
      </c>
      <c r="B42" s="2" t="s">
        <v>87</v>
      </c>
      <c r="C42" s="2" t="s">
        <v>18</v>
      </c>
      <c r="D42" s="29">
        <f>VLOOKUP(players[[#This Row],[player_name]],auction_data[],3,0)</f>
        <v>150000000</v>
      </c>
      <c r="E42" s="27">
        <f>_xlfn.IFNA(VLOOKUP(players[[#This Row],[player_name]],batting_stats[[player_name]:[sixes]],7,0),0)</f>
        <v>113.21428571428571</v>
      </c>
      <c r="F42" s="27">
        <f>_xlfn.IFNA(VLOOKUP(players[[#This Row],[player_name]],bowling_stats[[player_name]:[runs_conceded]],4,0),0)</f>
        <v>0</v>
      </c>
      <c r="G42" s="28">
        <f>_xlfn.IFNA(VLOOKUP(players[[#This Row],[player_name]],bowling_stats[[player_name]:[runs_conceded]],6,0),0)</f>
        <v>0</v>
      </c>
      <c r="H42"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11.321428571428571</v>
      </c>
      <c r="I42" s="3" t="str">
        <f>IF(AND(players[[#This Row],[Rating]]&gt;7,players[[#This Row],[auction_price]]&lt;40000000),"Underatted",IF(AND(players[[#This Row],[Rating]]&lt;5,players[[#This Row],[auction_price]]&gt;40000000),"Overrated","Perfectly rated"))</f>
        <v>Perfectly rated</v>
      </c>
      <c r="J42" s="3" t="s">
        <v>23</v>
      </c>
    </row>
    <row r="43" spans="1:10" x14ac:dyDescent="0.2">
      <c r="A43" s="1" t="s">
        <v>88</v>
      </c>
      <c r="B43" s="2" t="s">
        <v>89</v>
      </c>
      <c r="C43" s="2" t="s">
        <v>15</v>
      </c>
      <c r="D43" s="29">
        <f>VLOOKUP(players[[#This Row],[player_name]],auction_data[],3,0)</f>
        <v>2000000</v>
      </c>
      <c r="E43" s="27">
        <f>_xlfn.IFNA(VLOOKUP(players[[#This Row],[player_name]],batting_stats[[player_name]:[sixes]],7,0),0)</f>
        <v>95.803571428571431</v>
      </c>
      <c r="F43" s="27">
        <f>_xlfn.IFNA(VLOOKUP(players[[#This Row],[player_name]],bowling_stats[[player_name]:[runs_conceded]],4,0),0)</f>
        <v>7.7897082658022683</v>
      </c>
      <c r="G43" s="28">
        <f>_xlfn.IFNA(VLOOKUP(players[[#This Row],[player_name]],bowling_stats[[player_name]:[runs_conceded]],6,0),0)</f>
        <v>2.7142857142857144</v>
      </c>
      <c r="H43"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18.504934591340589</v>
      </c>
      <c r="I43" s="3" t="str">
        <f>IF(AND(players[[#This Row],[Rating]]&gt;7,players[[#This Row],[auction_price]]&lt;40000000),"Underatted",IF(AND(players[[#This Row],[Rating]]&lt;5,players[[#This Row],[auction_price]]&gt;40000000),"Overrated","Perfectly rated"))</f>
        <v>Underatted</v>
      </c>
      <c r="J43" s="3" t="s">
        <v>7</v>
      </c>
    </row>
    <row r="44" spans="1:10" x14ac:dyDescent="0.2">
      <c r="A44" s="1" t="s">
        <v>90</v>
      </c>
      <c r="B44" s="2" t="s">
        <v>91</v>
      </c>
      <c r="C44" s="2" t="s">
        <v>12</v>
      </c>
      <c r="D44" s="29">
        <f>VLOOKUP(players[[#This Row],[player_name]],auction_data[],3,0)</f>
        <v>80000000</v>
      </c>
      <c r="E44" s="27">
        <f>_xlfn.IFNA(VLOOKUP(players[[#This Row],[player_name]],batting_stats[[player_name]:[sixes]],7,0),0)</f>
        <v>3.2857142857142856</v>
      </c>
      <c r="F44" s="27">
        <f>_xlfn.IFNA(VLOOKUP(players[[#This Row],[player_name]],bowling_stats[[player_name]:[runs_conceded]],4,0),0)</f>
        <v>7.373086220789685</v>
      </c>
      <c r="G44" s="28">
        <f>_xlfn.IFNA(VLOOKUP(players[[#This Row],[player_name]],bowling_stats[[player_name]:[runs_conceded]],6,0),0)</f>
        <v>3.1785714285714284</v>
      </c>
      <c r="H44"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9.8054852077817429</v>
      </c>
      <c r="I44" s="3" t="str">
        <f>IF(AND(players[[#This Row],[Rating]]&gt;7,players[[#This Row],[auction_price]]&lt;40000000),"Underatted",IF(AND(players[[#This Row],[Rating]]&lt;5,players[[#This Row],[auction_price]]&gt;40000000),"Overrated","Perfectly rated"))</f>
        <v>Perfectly rated</v>
      </c>
      <c r="J44" s="3" t="s">
        <v>7</v>
      </c>
    </row>
    <row r="45" spans="1:10" x14ac:dyDescent="0.2">
      <c r="A45" s="1" t="s">
        <v>92</v>
      </c>
      <c r="B45" s="2" t="s">
        <v>93</v>
      </c>
      <c r="C45" s="2" t="s">
        <v>12</v>
      </c>
      <c r="D45" s="29">
        <f>VLOOKUP(players[[#This Row],[player_name]],auction_data[],3,0)</f>
        <v>40000000</v>
      </c>
      <c r="E45" s="27">
        <f>_xlfn.IFNA(VLOOKUP(players[[#This Row],[player_name]],batting_stats[[player_name]:[sixes]],7,0),0)</f>
        <v>0</v>
      </c>
      <c r="F45" s="27">
        <f>_xlfn.IFNA(VLOOKUP(players[[#This Row],[player_name]],bowling_stats[[player_name]:[runs_conceded]],4,0),0)</f>
        <v>8.7078651685393265</v>
      </c>
      <c r="G45" s="28">
        <f>_xlfn.IFNA(VLOOKUP(players[[#This Row],[player_name]],bowling_stats[[player_name]:[runs_conceded]],6,0),0)</f>
        <v>0.375</v>
      </c>
      <c r="H45"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5.6671348314606735</v>
      </c>
      <c r="I45" s="3" t="str">
        <f>IF(AND(players[[#This Row],[Rating]]&gt;7,players[[#This Row],[auction_price]]&lt;40000000),"Underatted",IF(AND(players[[#This Row],[Rating]]&lt;5,players[[#This Row],[auction_price]]&gt;40000000),"Overrated","Perfectly rated"))</f>
        <v>Perfectly rated</v>
      </c>
      <c r="J45" s="3" t="s">
        <v>7</v>
      </c>
    </row>
    <row r="46" spans="1:10" x14ac:dyDescent="0.2">
      <c r="A46" s="1" t="s">
        <v>94</v>
      </c>
      <c r="B46" s="2" t="s">
        <v>95</v>
      </c>
      <c r="C46" s="2" t="s">
        <v>6</v>
      </c>
      <c r="D46" s="29">
        <f>VLOOKUP(players[[#This Row],[player_name]],auction_data[],3,0)</f>
        <v>20000000</v>
      </c>
      <c r="E46" s="27">
        <f>_xlfn.IFNA(VLOOKUP(players[[#This Row],[player_name]],batting_stats[[player_name]:[sixes]],7,0),0)</f>
        <v>62.267857142857146</v>
      </c>
      <c r="F46" s="27">
        <f>_xlfn.IFNA(VLOOKUP(players[[#This Row],[player_name]],bowling_stats[[player_name]:[runs_conceded]],4,0),0)</f>
        <v>0</v>
      </c>
      <c r="G46" s="28">
        <f>_xlfn.IFNA(VLOOKUP(players[[#This Row],[player_name]],bowling_stats[[player_name]:[runs_conceded]],6,0),0)</f>
        <v>0</v>
      </c>
      <c r="H46"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6.2267857142857146</v>
      </c>
      <c r="I46" s="3" t="str">
        <f>IF(AND(players[[#This Row],[Rating]]&gt;7,players[[#This Row],[auction_price]]&lt;40000000),"Underatted",IF(AND(players[[#This Row],[Rating]]&lt;5,players[[#This Row],[auction_price]]&gt;40000000),"Overrated","Perfectly rated"))</f>
        <v>Perfectly rated</v>
      </c>
      <c r="J46" s="3" t="s">
        <v>7</v>
      </c>
    </row>
    <row r="47" spans="1:10" x14ac:dyDescent="0.2">
      <c r="A47" s="1" t="s">
        <v>96</v>
      </c>
      <c r="B47" s="2" t="s">
        <v>97</v>
      </c>
      <c r="C47" s="2" t="s">
        <v>12</v>
      </c>
      <c r="D47" s="29">
        <f>VLOOKUP(players[[#This Row],[player_name]],auction_data[],3,0)</f>
        <v>120000000</v>
      </c>
      <c r="E47" s="27">
        <f>_xlfn.IFNA(VLOOKUP(players[[#This Row],[player_name]],batting_stats[[player_name]:[sixes]],7,0),0)</f>
        <v>3.6428571428571428</v>
      </c>
      <c r="F47" s="27">
        <f>_xlfn.IFNA(VLOOKUP(players[[#This Row],[player_name]],bowling_stats[[player_name]:[runs_conceded]],4,0),0)</f>
        <v>8.7110187110187098</v>
      </c>
      <c r="G47" s="28">
        <f>_xlfn.IFNA(VLOOKUP(players[[#This Row],[player_name]],bowling_stats[[player_name]:[runs_conceded]],6,0),0)</f>
        <v>0.7857142857142857</v>
      </c>
      <c r="H47"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6.0746955746955758</v>
      </c>
      <c r="I47" s="3" t="str">
        <f>IF(AND(players[[#This Row],[Rating]]&gt;7,players[[#This Row],[auction_price]]&lt;40000000),"Underatted",IF(AND(players[[#This Row],[Rating]]&lt;5,players[[#This Row],[auction_price]]&gt;40000000),"Overrated","Perfectly rated"))</f>
        <v>Perfectly rated</v>
      </c>
      <c r="J47" s="3" t="s">
        <v>7</v>
      </c>
    </row>
    <row r="48" spans="1:10" x14ac:dyDescent="0.2">
      <c r="A48" s="1" t="s">
        <v>98</v>
      </c>
      <c r="B48" s="2" t="s">
        <v>99</v>
      </c>
      <c r="C48" s="2" t="s">
        <v>18</v>
      </c>
      <c r="D48" s="29">
        <f>VLOOKUP(players[[#This Row],[player_name]],auction_data[],3,0)</f>
        <v>50000000</v>
      </c>
      <c r="E48" s="27">
        <f>_xlfn.IFNA(VLOOKUP(players[[#This Row],[player_name]],batting_stats[[player_name]:[sixes]],7,0),0)</f>
        <v>44.5</v>
      </c>
      <c r="F48" s="27">
        <f>_xlfn.IFNA(VLOOKUP(players[[#This Row],[player_name]],bowling_stats[[player_name]:[runs_conceded]],4,0),0)</f>
        <v>0</v>
      </c>
      <c r="G48" s="28">
        <f>_xlfn.IFNA(VLOOKUP(players[[#This Row],[player_name]],bowling_stats[[player_name]:[runs_conceded]],6,0),0)</f>
        <v>0</v>
      </c>
      <c r="H48"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4.45</v>
      </c>
      <c r="I48" s="3" t="str">
        <f>IF(AND(players[[#This Row],[Rating]]&gt;7,players[[#This Row],[auction_price]]&lt;40000000),"Underatted",IF(AND(players[[#This Row],[Rating]]&lt;5,players[[#This Row],[auction_price]]&gt;40000000),"Overrated","Perfectly rated"))</f>
        <v>Overrated</v>
      </c>
      <c r="J48" s="3" t="s">
        <v>7</v>
      </c>
    </row>
    <row r="49" spans="1:10" x14ac:dyDescent="0.2">
      <c r="A49" s="1" t="s">
        <v>100</v>
      </c>
      <c r="B49" s="2" t="s">
        <v>101</v>
      </c>
      <c r="C49" s="2" t="s">
        <v>6</v>
      </c>
      <c r="D49" s="29">
        <f>VLOOKUP(players[[#This Row],[player_name]],auction_data[],3,0)</f>
        <v>160000000</v>
      </c>
      <c r="E49" s="27">
        <f>_xlfn.IFNA(VLOOKUP(players[[#This Row],[player_name]],batting_stats[[player_name]:[sixes]],7,0),0)</f>
        <v>70.310810810810807</v>
      </c>
      <c r="F49" s="27">
        <f>_xlfn.IFNA(VLOOKUP(players[[#This Row],[player_name]],bowling_stats[[player_name]:[runs_conceded]],4,0),0)</f>
        <v>0</v>
      </c>
      <c r="G49" s="28">
        <f>_xlfn.IFNA(VLOOKUP(players[[#This Row],[player_name]],bowling_stats[[player_name]:[runs_conceded]],6,0),0)</f>
        <v>0</v>
      </c>
      <c r="H49"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7.0310810810810809</v>
      </c>
      <c r="I49" s="3" t="str">
        <f>IF(AND(players[[#This Row],[Rating]]&gt;7,players[[#This Row],[auction_price]]&lt;40000000),"Underatted",IF(AND(players[[#This Row],[Rating]]&lt;5,players[[#This Row],[auction_price]]&gt;40000000),"Overrated","Perfectly rated"))</f>
        <v>Perfectly rated</v>
      </c>
      <c r="J49" s="3" t="s">
        <v>23</v>
      </c>
    </row>
    <row r="50" spans="1:10" x14ac:dyDescent="0.2">
      <c r="A50" s="1" t="s">
        <v>102</v>
      </c>
      <c r="B50" s="2" t="s">
        <v>103</v>
      </c>
      <c r="C50" s="2" t="s">
        <v>15</v>
      </c>
      <c r="D50" s="29">
        <f>VLOOKUP(players[[#This Row],[player_name]],auction_data[],3,0)</f>
        <v>20000000</v>
      </c>
      <c r="E50" s="27">
        <f>_xlfn.IFNA(VLOOKUP(players[[#This Row],[player_name]],batting_stats[[player_name]:[sixes]],7,0),0)</f>
        <v>70.608108108108112</v>
      </c>
      <c r="F50" s="27">
        <f>_xlfn.IFNA(VLOOKUP(players[[#This Row],[player_name]],bowling_stats[[player_name]:[runs_conceded]],4,0),0)</f>
        <v>8.5330776605944383</v>
      </c>
      <c r="G50" s="28">
        <f>_xlfn.IFNA(VLOOKUP(players[[#This Row],[player_name]],bowling_stats[[player_name]:[runs_conceded]],6,0),0)</f>
        <v>1.6351351351351351</v>
      </c>
      <c r="H50"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14.162868285351507</v>
      </c>
      <c r="I50" s="3" t="str">
        <f>IF(AND(players[[#This Row],[Rating]]&gt;7,players[[#This Row],[auction_price]]&lt;40000000),"Underatted",IF(AND(players[[#This Row],[Rating]]&lt;5,players[[#This Row],[auction_price]]&gt;40000000),"Overrated","Perfectly rated"))</f>
        <v>Underatted</v>
      </c>
      <c r="J50" s="3" t="s">
        <v>7</v>
      </c>
    </row>
    <row r="51" spans="1:10" x14ac:dyDescent="0.2">
      <c r="A51" s="1" t="s">
        <v>104</v>
      </c>
      <c r="B51" s="2" t="s">
        <v>105</v>
      </c>
      <c r="C51" s="2" t="s">
        <v>12</v>
      </c>
      <c r="D51" s="29">
        <f>VLOOKUP(players[[#This Row],[player_name]],auction_data[],3,0)</f>
        <v>80000000</v>
      </c>
      <c r="E51" s="27">
        <f>_xlfn.IFNA(VLOOKUP(players[[#This Row],[player_name]],batting_stats[[player_name]:[sixes]],7,0),0)</f>
        <v>2.6081081081081079</v>
      </c>
      <c r="F51" s="27">
        <f>_xlfn.IFNA(VLOOKUP(players[[#This Row],[player_name]],bowling_stats[[player_name]:[runs_conceded]],4,0),0)</f>
        <v>7.9113247863247871</v>
      </c>
      <c r="G51" s="28">
        <f>_xlfn.IFNA(VLOOKUP(players[[#This Row],[player_name]],bowling_stats[[player_name]:[runs_conceded]],6,0),0)</f>
        <v>1.472972972972973</v>
      </c>
      <c r="H51"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7.5616481866481857</v>
      </c>
      <c r="I51" s="3" t="str">
        <f>IF(AND(players[[#This Row],[Rating]]&gt;7,players[[#This Row],[auction_price]]&lt;40000000),"Underatted",IF(AND(players[[#This Row],[Rating]]&lt;5,players[[#This Row],[auction_price]]&gt;40000000),"Overrated","Perfectly rated"))</f>
        <v>Perfectly rated</v>
      </c>
      <c r="J51" s="3" t="s">
        <v>7</v>
      </c>
    </row>
    <row r="52" spans="1:10" x14ac:dyDescent="0.2">
      <c r="A52" s="1" t="s">
        <v>106</v>
      </c>
      <c r="B52" s="2" t="s">
        <v>107</v>
      </c>
      <c r="C52" s="2" t="s">
        <v>6</v>
      </c>
      <c r="D52" s="29">
        <f>VLOOKUP(players[[#This Row],[player_name]],auction_data[],3,0)</f>
        <v>2000000</v>
      </c>
      <c r="E52" s="27">
        <f>_xlfn.IFNA(VLOOKUP(players[[#This Row],[player_name]],batting_stats[[player_name]:[sixes]],7,0),0)</f>
        <v>36.945945945945944</v>
      </c>
      <c r="F52" s="27">
        <f>_xlfn.IFNA(VLOOKUP(players[[#This Row],[player_name]],bowling_stats[[player_name]:[runs_conceded]],4,0),0)</f>
        <v>0</v>
      </c>
      <c r="G52" s="28">
        <f>_xlfn.IFNA(VLOOKUP(players[[#This Row],[player_name]],bowling_stats[[player_name]:[runs_conceded]],6,0),0)</f>
        <v>0</v>
      </c>
      <c r="H52"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3.6945945945945944</v>
      </c>
      <c r="I52" s="3" t="str">
        <f>IF(AND(players[[#This Row],[Rating]]&gt;7,players[[#This Row],[auction_price]]&lt;40000000),"Underatted",IF(AND(players[[#This Row],[Rating]]&lt;5,players[[#This Row],[auction_price]]&gt;40000000),"Overrated","Perfectly rated"))</f>
        <v>Perfectly rated</v>
      </c>
      <c r="J52" s="3" t="s">
        <v>7</v>
      </c>
    </row>
    <row r="53" spans="1:10" x14ac:dyDescent="0.2">
      <c r="A53" s="1" t="s">
        <v>108</v>
      </c>
      <c r="B53" s="2" t="s">
        <v>109</v>
      </c>
      <c r="C53" s="2" t="s">
        <v>6</v>
      </c>
      <c r="D53" s="29">
        <f>VLOOKUP(players[[#This Row],[player_name]],auction_data[],3,0)</f>
        <v>70000000</v>
      </c>
      <c r="E53" s="27">
        <f>_xlfn.IFNA(VLOOKUP(players[[#This Row],[player_name]],batting_stats[[player_name]:[sixes]],7,0),0)</f>
        <v>71.081081081081081</v>
      </c>
      <c r="F53" s="27">
        <f>_xlfn.IFNA(VLOOKUP(players[[#This Row],[player_name]],bowling_stats[[player_name]:[runs_conceded]],4,0),0)</f>
        <v>0</v>
      </c>
      <c r="G53" s="28">
        <f>_xlfn.IFNA(VLOOKUP(players[[#This Row],[player_name]],bowling_stats[[player_name]:[runs_conceded]],6,0),0)</f>
        <v>0</v>
      </c>
      <c r="H53"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7.1081081081081079</v>
      </c>
      <c r="I53" s="3" t="str">
        <f>IF(AND(players[[#This Row],[Rating]]&gt;7,players[[#This Row],[auction_price]]&lt;40000000),"Underatted",IF(AND(players[[#This Row],[Rating]]&lt;5,players[[#This Row],[auction_price]]&gt;40000000),"Overrated","Perfectly rated"))</f>
        <v>Perfectly rated</v>
      </c>
      <c r="J53" s="3" t="s">
        <v>23</v>
      </c>
    </row>
    <row r="54" spans="1:10" x14ac:dyDescent="0.2">
      <c r="A54" s="1" t="s">
        <v>110</v>
      </c>
      <c r="B54" s="2" t="s">
        <v>111</v>
      </c>
      <c r="C54" s="2" t="s">
        <v>6</v>
      </c>
      <c r="D54" s="29">
        <f>VLOOKUP(players[[#This Row],[player_name]],auction_data[],3,0)</f>
        <v>40000000</v>
      </c>
      <c r="E54" s="27">
        <f>_xlfn.IFNA(VLOOKUP(players[[#This Row],[player_name]],batting_stats[[player_name]:[sixes]],7,0),0)</f>
        <v>41.351351351351354</v>
      </c>
      <c r="F54" s="27">
        <f>_xlfn.IFNA(VLOOKUP(players[[#This Row],[player_name]],bowling_stats[[player_name]:[runs_conceded]],4,0),0)</f>
        <v>0</v>
      </c>
      <c r="G54" s="28">
        <f>_xlfn.IFNA(VLOOKUP(players[[#This Row],[player_name]],bowling_stats[[player_name]:[runs_conceded]],6,0),0)</f>
        <v>0</v>
      </c>
      <c r="H54"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4.1351351351351351</v>
      </c>
      <c r="I54" s="3" t="str">
        <f>IF(AND(players[[#This Row],[Rating]]&gt;7,players[[#This Row],[auction_price]]&lt;40000000),"Underatted",IF(AND(players[[#This Row],[Rating]]&lt;5,players[[#This Row],[auction_price]]&gt;40000000),"Overrated","Perfectly rated"))</f>
        <v>Perfectly rated</v>
      </c>
      <c r="J54" s="3" t="s">
        <v>23</v>
      </c>
    </row>
    <row r="55" spans="1:10" x14ac:dyDescent="0.2">
      <c r="A55" s="1" t="s">
        <v>112</v>
      </c>
      <c r="B55" s="2" t="s">
        <v>113</v>
      </c>
      <c r="C55" s="2" t="s">
        <v>12</v>
      </c>
      <c r="D55" s="29">
        <f>VLOOKUP(players[[#This Row],[player_name]],auction_data[],3,0)</f>
        <v>150000000</v>
      </c>
      <c r="E55" s="27">
        <f>_xlfn.IFNA(VLOOKUP(players[[#This Row],[player_name]],batting_stats[[player_name]:[sixes]],7,0),0)</f>
        <v>0</v>
      </c>
      <c r="F55" s="27">
        <f>_xlfn.IFNA(VLOOKUP(players[[#This Row],[player_name]],bowling_stats[[player_name]:[runs_conceded]],4,0),0)</f>
        <v>8.1529093369418124</v>
      </c>
      <c r="G55" s="28">
        <f>_xlfn.IFNA(VLOOKUP(players[[#This Row],[player_name]],bowling_stats[[player_name]:[runs_conceded]],6,0),0)</f>
        <v>0.93243243243243246</v>
      </c>
      <c r="H55"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6.77952309549062</v>
      </c>
      <c r="I55" s="3" t="str">
        <f>IF(AND(players[[#This Row],[Rating]]&gt;7,players[[#This Row],[auction_price]]&lt;40000000),"Underatted",IF(AND(players[[#This Row],[Rating]]&lt;5,players[[#This Row],[auction_price]]&gt;40000000),"Overrated","Perfectly rated"))</f>
        <v>Perfectly rated</v>
      </c>
      <c r="J55" s="3" t="s">
        <v>7</v>
      </c>
    </row>
    <row r="56" spans="1:10" x14ac:dyDescent="0.2">
      <c r="A56" s="1" t="s">
        <v>114</v>
      </c>
      <c r="B56" s="2" t="s">
        <v>115</v>
      </c>
      <c r="C56" s="2" t="s">
        <v>12</v>
      </c>
      <c r="D56" s="29">
        <f>VLOOKUP(players[[#This Row],[player_name]],auction_data[],3,0)</f>
        <v>120000000</v>
      </c>
      <c r="E56" s="27">
        <f>_xlfn.IFNA(VLOOKUP(players[[#This Row],[player_name]],batting_stats[[player_name]:[sixes]],7,0),0)</f>
        <v>0</v>
      </c>
      <c r="F56" s="27">
        <f>_xlfn.IFNA(VLOOKUP(players[[#This Row],[player_name]],bowling_stats[[player_name]:[runs_conceded]],4,0),0)</f>
        <v>7.3989102380269571</v>
      </c>
      <c r="G56" s="28">
        <f>_xlfn.IFNA(VLOOKUP(players[[#This Row],[player_name]],bowling_stats[[player_name]:[runs_conceded]],6,0),0)</f>
        <v>1.3513513513513513</v>
      </c>
      <c r="H56"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7.9524411133243937</v>
      </c>
      <c r="I56" s="3" t="str">
        <f>IF(AND(players[[#This Row],[Rating]]&gt;7,players[[#This Row],[auction_price]]&lt;40000000),"Underatted",IF(AND(players[[#This Row],[Rating]]&lt;5,players[[#This Row],[auction_price]]&gt;40000000),"Overrated","Perfectly rated"))</f>
        <v>Perfectly rated</v>
      </c>
      <c r="J56" s="3" t="s">
        <v>7</v>
      </c>
    </row>
    <row r="57" spans="1:10" x14ac:dyDescent="0.2">
      <c r="A57" s="1" t="s">
        <v>116</v>
      </c>
      <c r="B57" s="2" t="s">
        <v>117</v>
      </c>
      <c r="C57" s="2" t="s">
        <v>12</v>
      </c>
      <c r="D57" s="29">
        <f>VLOOKUP(players[[#This Row],[player_name]],auction_data[],3,0)</f>
        <v>170000000</v>
      </c>
      <c r="E57" s="27">
        <f>_xlfn.IFNA(VLOOKUP(players[[#This Row],[player_name]],batting_stats[[player_name]:[sixes]],7,0),0)</f>
        <v>1.1486486486486487</v>
      </c>
      <c r="F57" s="27">
        <f>_xlfn.IFNA(VLOOKUP(players[[#This Row],[player_name]],bowling_stats[[player_name]:[runs_conceded]],4,0),0)</f>
        <v>7.5441231693578663</v>
      </c>
      <c r="G57" s="28">
        <f>_xlfn.IFNA(VLOOKUP(players[[#This Row],[player_name]],bowling_stats[[player_name]:[runs_conceded]],6,0),0)</f>
        <v>2.1081081081081079</v>
      </c>
      <c r="H57"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8.5639849387502416</v>
      </c>
      <c r="I57" s="3" t="str">
        <f>IF(AND(players[[#This Row],[Rating]]&gt;7,players[[#This Row],[auction_price]]&lt;40000000),"Underatted",IF(AND(players[[#This Row],[Rating]]&lt;5,players[[#This Row],[auction_price]]&gt;40000000),"Overrated","Perfectly rated"))</f>
        <v>Perfectly rated</v>
      </c>
      <c r="J57" s="3" t="s">
        <v>7</v>
      </c>
    </row>
    <row r="58" spans="1:10" x14ac:dyDescent="0.2">
      <c r="A58" s="1" t="s">
        <v>118</v>
      </c>
      <c r="B58" s="2" t="s">
        <v>119</v>
      </c>
      <c r="C58" s="2" t="s">
        <v>18</v>
      </c>
      <c r="D58" s="29">
        <f>VLOOKUP(players[[#This Row],[player_name]],auction_data[],3,0)</f>
        <v>5000000</v>
      </c>
      <c r="E58" s="27">
        <f>_xlfn.IFNA(VLOOKUP(players[[#This Row],[player_name]],batting_stats[[player_name]:[sixes]],7,0),0)</f>
        <v>36.594594594594597</v>
      </c>
      <c r="F58" s="27">
        <f>_xlfn.IFNA(VLOOKUP(players[[#This Row],[player_name]],bowling_stats[[player_name]:[runs_conceded]],4,0),0)</f>
        <v>0</v>
      </c>
      <c r="G58" s="28">
        <f>_xlfn.IFNA(VLOOKUP(players[[#This Row],[player_name]],bowling_stats[[player_name]:[runs_conceded]],6,0),0)</f>
        <v>0</v>
      </c>
      <c r="H58"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3.6594594594594598</v>
      </c>
      <c r="I58" s="3" t="str">
        <f>IF(AND(players[[#This Row],[Rating]]&gt;7,players[[#This Row],[auction_price]]&lt;40000000),"Underatted",IF(AND(players[[#This Row],[Rating]]&lt;5,players[[#This Row],[auction_price]]&gt;40000000),"Overrated","Perfectly rated"))</f>
        <v>Perfectly rated</v>
      </c>
      <c r="J58" s="3" t="s">
        <v>7</v>
      </c>
    </row>
    <row r="59" spans="1:10" x14ac:dyDescent="0.2">
      <c r="A59" s="1" t="s">
        <v>120</v>
      </c>
      <c r="B59" s="2" t="s">
        <v>121</v>
      </c>
      <c r="C59" s="2" t="s">
        <v>18</v>
      </c>
      <c r="D59" s="29">
        <f>VLOOKUP(players[[#This Row],[player_name]],auction_data[],3,0)</f>
        <v>170000000</v>
      </c>
      <c r="E59" s="27">
        <f>_xlfn.IFNA(VLOOKUP(players[[#This Row],[player_name]],batting_stats[[player_name]:[sixes]],7,0),0)</f>
        <v>14.696428571428571</v>
      </c>
      <c r="F59" s="27">
        <f>_xlfn.IFNA(VLOOKUP(players[[#This Row],[player_name]],bowling_stats[[player_name]:[runs_conceded]],4,0),0)</f>
        <v>0</v>
      </c>
      <c r="G59" s="28">
        <f>_xlfn.IFNA(VLOOKUP(players[[#This Row],[player_name]],bowling_stats[[player_name]:[runs_conceded]],6,0),0)</f>
        <v>0</v>
      </c>
      <c r="H59"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1.469642857142857</v>
      </c>
      <c r="I59" s="3" t="str">
        <f>IF(AND(players[[#This Row],[Rating]]&gt;7,players[[#This Row],[auction_price]]&lt;40000000),"Underatted",IF(AND(players[[#This Row],[Rating]]&lt;5,players[[#This Row],[auction_price]]&gt;40000000),"Overrated","Perfectly rated"))</f>
        <v>Overrated</v>
      </c>
      <c r="J59" s="3" t="s">
        <v>7</v>
      </c>
    </row>
    <row r="60" spans="1:10" x14ac:dyDescent="0.2">
      <c r="A60" s="1" t="s">
        <v>122</v>
      </c>
      <c r="B60" s="2" t="s">
        <v>123</v>
      </c>
      <c r="C60" s="2" t="s">
        <v>6</v>
      </c>
      <c r="D60" s="29">
        <f>VLOOKUP(players[[#This Row],[player_name]],auction_data[],3,0)</f>
        <v>120000000</v>
      </c>
      <c r="E60" s="27">
        <f>_xlfn.IFNA(VLOOKUP(players[[#This Row],[player_name]],batting_stats[[player_name]:[sixes]],7,0),0)</f>
        <v>93.303571428571431</v>
      </c>
      <c r="F60" s="27">
        <f>_xlfn.IFNA(VLOOKUP(players[[#This Row],[player_name]],bowling_stats[[player_name]:[runs_conceded]],4,0),0)</f>
        <v>0</v>
      </c>
      <c r="G60" s="28">
        <f>_xlfn.IFNA(VLOOKUP(players[[#This Row],[player_name]],bowling_stats[[player_name]:[runs_conceded]],6,0),0)</f>
        <v>0</v>
      </c>
      <c r="H60"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9.3303571428571423</v>
      </c>
      <c r="I60" s="3" t="str">
        <f>IF(AND(players[[#This Row],[Rating]]&gt;7,players[[#This Row],[auction_price]]&lt;40000000),"Underatted",IF(AND(players[[#This Row],[Rating]]&lt;5,players[[#This Row],[auction_price]]&gt;40000000),"Overrated","Perfectly rated"))</f>
        <v>Perfectly rated</v>
      </c>
      <c r="J60" s="3" t="s">
        <v>7</v>
      </c>
    </row>
    <row r="61" spans="1:10" x14ac:dyDescent="0.2">
      <c r="A61" s="1" t="s">
        <v>124</v>
      </c>
      <c r="B61" s="2" t="s">
        <v>125</v>
      </c>
      <c r="C61" s="2" t="s">
        <v>18</v>
      </c>
      <c r="D61" s="29">
        <f>VLOOKUP(players[[#This Row],[player_name]],auction_data[],3,0)</f>
        <v>80000000</v>
      </c>
      <c r="E61" s="27">
        <f>_xlfn.IFNA(VLOOKUP(players[[#This Row],[player_name]],batting_stats[[player_name]:[sixes]],7,0),0)</f>
        <v>18.053571428571427</v>
      </c>
      <c r="F61" s="27">
        <f>_xlfn.IFNA(VLOOKUP(players[[#This Row],[player_name]],bowling_stats[[player_name]:[runs_conceded]],4,0),0)</f>
        <v>0</v>
      </c>
      <c r="G61" s="28">
        <f>_xlfn.IFNA(VLOOKUP(players[[#This Row],[player_name]],bowling_stats[[player_name]:[runs_conceded]],6,0),0)</f>
        <v>0</v>
      </c>
      <c r="H61"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1.8053571428571427</v>
      </c>
      <c r="I61" s="3" t="str">
        <f>IF(AND(players[[#This Row],[Rating]]&gt;7,players[[#This Row],[auction_price]]&lt;40000000),"Underatted",IF(AND(players[[#This Row],[Rating]]&lt;5,players[[#This Row],[auction_price]]&gt;40000000),"Overrated","Perfectly rated"))</f>
        <v>Overrated</v>
      </c>
      <c r="J61" s="3" t="s">
        <v>23</v>
      </c>
    </row>
    <row r="62" spans="1:10" x14ac:dyDescent="0.2">
      <c r="A62" s="1" t="s">
        <v>126</v>
      </c>
      <c r="B62" s="2" t="s">
        <v>127</v>
      </c>
      <c r="C62" s="2" t="s">
        <v>6</v>
      </c>
      <c r="D62" s="29">
        <f>VLOOKUP(players[[#This Row],[player_name]],auction_data[],3,0)</f>
        <v>160000000</v>
      </c>
      <c r="E62" s="27">
        <f>_xlfn.IFNA(VLOOKUP(players[[#This Row],[player_name]],batting_stats[[player_name]:[sixes]],7,0),0)</f>
        <v>100.41071428571429</v>
      </c>
      <c r="F62" s="27">
        <f>_xlfn.IFNA(VLOOKUP(players[[#This Row],[player_name]],bowling_stats[[player_name]:[runs_conceded]],4,0),0)</f>
        <v>0</v>
      </c>
      <c r="G62" s="28">
        <f>_xlfn.IFNA(VLOOKUP(players[[#This Row],[player_name]],bowling_stats[[player_name]:[runs_conceded]],6,0),0)</f>
        <v>0</v>
      </c>
      <c r="H62"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10.04107142857143</v>
      </c>
      <c r="I62" s="3" t="str">
        <f>IF(AND(players[[#This Row],[Rating]]&gt;7,players[[#This Row],[auction_price]]&lt;40000000),"Underatted",IF(AND(players[[#This Row],[Rating]]&lt;5,players[[#This Row],[auction_price]]&gt;40000000),"Overrated","Perfectly rated"))</f>
        <v>Perfectly rated</v>
      </c>
      <c r="J62" s="3" t="s">
        <v>7</v>
      </c>
    </row>
    <row r="63" spans="1:10" x14ac:dyDescent="0.2">
      <c r="A63" s="1" t="s">
        <v>128</v>
      </c>
      <c r="B63" s="2" t="s">
        <v>129</v>
      </c>
      <c r="C63" s="2" t="s">
        <v>12</v>
      </c>
      <c r="D63" s="29">
        <f>VLOOKUP(players[[#This Row],[player_name]],auction_data[],3,0)</f>
        <v>50000000</v>
      </c>
      <c r="E63" s="27">
        <f>_xlfn.IFNA(VLOOKUP(players[[#This Row],[player_name]],batting_stats[[player_name]:[sixes]],7,0),0)</f>
        <v>5.6964285714285712</v>
      </c>
      <c r="F63" s="27">
        <f>_xlfn.IFNA(VLOOKUP(players[[#This Row],[player_name]],bowling_stats[[player_name]:[runs_conceded]],4,0),0)</f>
        <v>8.4408163265306122</v>
      </c>
      <c r="G63" s="28">
        <f>_xlfn.IFNA(VLOOKUP(players[[#This Row],[player_name]],bowling_stats[[player_name]:[runs_conceded]],6,0),0)</f>
        <v>0.5535714285714286</v>
      </c>
      <c r="H63"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6.1127551020408166</v>
      </c>
      <c r="I63" s="3" t="str">
        <f>IF(AND(players[[#This Row],[Rating]]&gt;7,players[[#This Row],[auction_price]]&lt;40000000),"Underatted",IF(AND(players[[#This Row],[Rating]]&lt;5,players[[#This Row],[auction_price]]&gt;40000000),"Overrated","Perfectly rated"))</f>
        <v>Perfectly rated</v>
      </c>
      <c r="J63" s="3" t="s">
        <v>7</v>
      </c>
    </row>
    <row r="64" spans="1:10" x14ac:dyDescent="0.2">
      <c r="A64" s="1" t="s">
        <v>130</v>
      </c>
      <c r="B64" s="2" t="s">
        <v>131</v>
      </c>
      <c r="C64" s="2" t="s">
        <v>12</v>
      </c>
      <c r="D64" s="29">
        <f>VLOOKUP(players[[#This Row],[player_name]],auction_data[],3,0)</f>
        <v>40000000</v>
      </c>
      <c r="E64" s="27">
        <f>_xlfn.IFNA(VLOOKUP(players[[#This Row],[player_name]],batting_stats[[player_name]:[sixes]],7,0),0)</f>
        <v>1.875</v>
      </c>
      <c r="F64" s="27">
        <f>_xlfn.IFNA(VLOOKUP(players[[#This Row],[player_name]],bowling_stats[[player_name]:[runs_conceded]],4,0),0)</f>
        <v>7.2667050691244244</v>
      </c>
      <c r="G64" s="28">
        <f>_xlfn.IFNA(VLOOKUP(players[[#This Row],[player_name]],bowling_stats[[player_name]:[runs_conceded]],6,0),0)</f>
        <v>1.2678571428571428</v>
      </c>
      <c r="H64"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8.0011520737327189</v>
      </c>
      <c r="I64" s="3" t="str">
        <f>IF(AND(players[[#This Row],[Rating]]&gt;7,players[[#This Row],[auction_price]]&lt;40000000),"Underatted",IF(AND(players[[#This Row],[Rating]]&lt;5,players[[#This Row],[auction_price]]&gt;40000000),"Overrated","Perfectly rated"))</f>
        <v>Perfectly rated</v>
      </c>
      <c r="J64" s="3" t="s">
        <v>23</v>
      </c>
    </row>
    <row r="65" spans="1:10" x14ac:dyDescent="0.2">
      <c r="A65" s="1" t="s">
        <v>132</v>
      </c>
      <c r="B65" s="2" t="s">
        <v>133</v>
      </c>
      <c r="C65" s="2" t="s">
        <v>15</v>
      </c>
      <c r="D65" s="29">
        <f>VLOOKUP(players[[#This Row],[player_name]],auction_data[],3,0)</f>
        <v>2000000</v>
      </c>
      <c r="E65" s="27">
        <f>_xlfn.IFNA(VLOOKUP(players[[#This Row],[player_name]],batting_stats[[player_name]:[sixes]],7,0),0)</f>
        <v>110.66071428571429</v>
      </c>
      <c r="F65" s="27">
        <f>_xlfn.IFNA(VLOOKUP(players[[#This Row],[player_name]],bowling_stats[[player_name]:[runs_conceded]],4,0),0)</f>
        <v>8.5523682454969983</v>
      </c>
      <c r="G65" s="28">
        <f>_xlfn.IFNA(VLOOKUP(players[[#This Row],[player_name]],bowling_stats[[player_name]:[runs_conceded]],6,0),0)</f>
        <v>0.5357142857142857</v>
      </c>
      <c r="H65"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17.049417468788718</v>
      </c>
      <c r="I65" s="3" t="str">
        <f>IF(AND(players[[#This Row],[Rating]]&gt;7,players[[#This Row],[auction_price]]&lt;40000000),"Underatted",IF(AND(players[[#This Row],[Rating]]&lt;5,players[[#This Row],[auction_price]]&gt;40000000),"Overrated","Perfectly rated"))</f>
        <v>Underatted</v>
      </c>
      <c r="J65" s="3" t="s">
        <v>7</v>
      </c>
    </row>
    <row r="66" spans="1:10" x14ac:dyDescent="0.2">
      <c r="A66" s="1" t="s">
        <v>134</v>
      </c>
      <c r="B66" s="2" t="s">
        <v>135</v>
      </c>
      <c r="C66" s="2" t="s">
        <v>18</v>
      </c>
      <c r="D66" s="29">
        <f>VLOOKUP(players[[#This Row],[player_name]],auction_data[],3,0)</f>
        <v>5000000</v>
      </c>
      <c r="E66" s="27">
        <f>_xlfn.IFNA(VLOOKUP(players[[#This Row],[player_name]],batting_stats[[player_name]:[sixes]],7,0),0)</f>
        <v>76.642857142857139</v>
      </c>
      <c r="F66" s="27">
        <f>_xlfn.IFNA(VLOOKUP(players[[#This Row],[player_name]],bowling_stats[[player_name]:[runs_conceded]],4,0),0)</f>
        <v>0</v>
      </c>
      <c r="G66" s="28">
        <f>_xlfn.IFNA(VLOOKUP(players[[#This Row],[player_name]],bowling_stats[[player_name]:[runs_conceded]],6,0),0)</f>
        <v>0</v>
      </c>
      <c r="H66"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7.6642857142857137</v>
      </c>
      <c r="I66" s="3" t="str">
        <f>IF(AND(players[[#This Row],[Rating]]&gt;7,players[[#This Row],[auction_price]]&lt;40000000),"Underatted",IF(AND(players[[#This Row],[Rating]]&lt;5,players[[#This Row],[auction_price]]&gt;40000000),"Overrated","Perfectly rated"))</f>
        <v>Underatted</v>
      </c>
      <c r="J66" s="3" t="s">
        <v>7</v>
      </c>
    </row>
    <row r="67" spans="1:10" x14ac:dyDescent="0.2">
      <c r="A67" s="1" t="s">
        <v>136</v>
      </c>
      <c r="B67" s="2" t="s">
        <v>137</v>
      </c>
      <c r="C67" s="2" t="s">
        <v>12</v>
      </c>
      <c r="D67" s="29">
        <f>VLOOKUP(players[[#This Row],[player_name]],auction_data[],3,0)</f>
        <v>70000000</v>
      </c>
      <c r="E67" s="27">
        <f>_xlfn.IFNA(VLOOKUP(players[[#This Row],[player_name]],batting_stats[[player_name]:[sixes]],7,0),0)</f>
        <v>0</v>
      </c>
      <c r="F67" s="27">
        <f>_xlfn.IFNA(VLOOKUP(players[[#This Row],[player_name]],bowling_stats[[player_name]:[runs_conceded]],4,0),0)</f>
        <v>7.4352941176470591</v>
      </c>
      <c r="G67" s="28">
        <f>_xlfn.IFNA(VLOOKUP(players[[#This Row],[player_name]],bowling_stats[[player_name]:[runs_conceded]],6,0),0)</f>
        <v>0.625</v>
      </c>
      <c r="H67"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7.1897058823529409</v>
      </c>
      <c r="I67" s="3" t="str">
        <f>IF(AND(players[[#This Row],[Rating]]&gt;7,players[[#This Row],[auction_price]]&lt;40000000),"Underatted",IF(AND(players[[#This Row],[Rating]]&lt;5,players[[#This Row],[auction_price]]&gt;40000000),"Overrated","Perfectly rated"))</f>
        <v>Perfectly rated</v>
      </c>
      <c r="J67" s="3" t="s">
        <v>7</v>
      </c>
    </row>
    <row r="68" spans="1:10" x14ac:dyDescent="0.2">
      <c r="A68" s="1" t="s">
        <v>138</v>
      </c>
      <c r="B68" s="2" t="s">
        <v>139</v>
      </c>
      <c r="C68" s="2" t="s">
        <v>6</v>
      </c>
      <c r="D68" s="29">
        <f>VLOOKUP(players[[#This Row],[player_name]],auction_data[],3,0)</f>
        <v>150000000</v>
      </c>
      <c r="E68" s="27">
        <f>_xlfn.IFNA(VLOOKUP(players[[#This Row],[player_name]],batting_stats[[player_name]:[sixes]],7,0),0)</f>
        <v>32.732142857142854</v>
      </c>
      <c r="F68" s="27">
        <f>_xlfn.IFNA(VLOOKUP(players[[#This Row],[player_name]],bowling_stats[[player_name]:[runs_conceded]],4,0),0)</f>
        <v>0</v>
      </c>
      <c r="G68" s="28">
        <f>_xlfn.IFNA(VLOOKUP(players[[#This Row],[player_name]],bowling_stats[[player_name]:[runs_conceded]],6,0),0)</f>
        <v>0</v>
      </c>
      <c r="H68"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3.2732142857142854</v>
      </c>
      <c r="I68" s="3" t="str">
        <f>IF(AND(players[[#This Row],[Rating]]&gt;7,players[[#This Row],[auction_price]]&lt;40000000),"Underatted",IF(AND(players[[#This Row],[Rating]]&lt;5,players[[#This Row],[auction_price]]&gt;40000000),"Overrated","Perfectly rated"))</f>
        <v>Overrated</v>
      </c>
      <c r="J68" s="3" t="s">
        <v>23</v>
      </c>
    </row>
    <row r="69" spans="1:10" x14ac:dyDescent="0.2">
      <c r="A69" s="1" t="s">
        <v>140</v>
      </c>
      <c r="B69" s="2" t="s">
        <v>141</v>
      </c>
      <c r="C69" s="2" t="s">
        <v>12</v>
      </c>
      <c r="D69" s="29">
        <f>VLOOKUP(players[[#This Row],[player_name]],auction_data[],3,0)</f>
        <v>20000000</v>
      </c>
      <c r="E69" s="27">
        <f>_xlfn.IFNA(VLOOKUP(players[[#This Row],[player_name]],batting_stats[[player_name]:[sixes]],7,0),0)</f>
        <v>0</v>
      </c>
      <c r="F69" s="27">
        <f>_xlfn.IFNA(VLOOKUP(players[[#This Row],[player_name]],bowling_stats[[player_name]:[runs_conceded]],4,0),0)</f>
        <v>7.925390740194632</v>
      </c>
      <c r="G69" s="28">
        <f>_xlfn.IFNA(VLOOKUP(players[[#This Row],[player_name]],bowling_stats[[player_name]:[runs_conceded]],6,0),0)</f>
        <v>2.9821428571428572</v>
      </c>
      <c r="H69"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9.0567521169482248</v>
      </c>
      <c r="I69" s="3" t="str">
        <f>IF(AND(players[[#This Row],[Rating]]&gt;7,players[[#This Row],[auction_price]]&lt;40000000),"Underatted",IF(AND(players[[#This Row],[Rating]]&lt;5,players[[#This Row],[auction_price]]&gt;40000000),"Overrated","Perfectly rated"))</f>
        <v>Underatted</v>
      </c>
      <c r="J69" s="3" t="s">
        <v>7</v>
      </c>
    </row>
    <row r="70" spans="1:10" x14ac:dyDescent="0.2">
      <c r="A70" s="1" t="s">
        <v>142</v>
      </c>
      <c r="B70" s="2" t="s">
        <v>143</v>
      </c>
      <c r="C70" s="2" t="s">
        <v>15</v>
      </c>
      <c r="D70" s="29">
        <f>VLOOKUP(players[[#This Row],[player_name]],auction_data[],3,0)</f>
        <v>150000000</v>
      </c>
      <c r="E70" s="27">
        <f>_xlfn.IFNA(VLOOKUP(players[[#This Row],[player_name]],batting_stats[[player_name]:[sixes]],7,0),0)</f>
        <v>85.955223880597018</v>
      </c>
      <c r="F70" s="27">
        <f>_xlfn.IFNA(VLOOKUP(players[[#This Row],[player_name]],bowling_stats[[player_name]:[runs_conceded]],4,0),0)</f>
        <v>7.5436570933756677</v>
      </c>
      <c r="G70" s="28">
        <f>_xlfn.IFNA(VLOOKUP(players[[#This Row],[player_name]],bowling_stats[[player_name]:[runs_conceded]],6,0),0)</f>
        <v>2.3283582089552239</v>
      </c>
      <c r="H70"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17.380223503639257</v>
      </c>
      <c r="I70" s="3" t="str">
        <f>IF(AND(players[[#This Row],[Rating]]&gt;7,players[[#This Row],[auction_price]]&lt;40000000),"Underatted",IF(AND(players[[#This Row],[Rating]]&lt;5,players[[#This Row],[auction_price]]&gt;40000000),"Overrated","Perfectly rated"))</f>
        <v>Perfectly rated</v>
      </c>
      <c r="J70" s="3" t="s">
        <v>23</v>
      </c>
    </row>
    <row r="71" spans="1:10" x14ac:dyDescent="0.2">
      <c r="A71" s="1" t="s">
        <v>144</v>
      </c>
      <c r="B71" s="2" t="s">
        <v>145</v>
      </c>
      <c r="C71" s="2" t="s">
        <v>6</v>
      </c>
      <c r="D71" s="29">
        <f>VLOOKUP(players[[#This Row],[player_name]],auction_data[],3,0)</f>
        <v>70000000</v>
      </c>
      <c r="E71" s="27">
        <f>_xlfn.IFNA(VLOOKUP(players[[#This Row],[player_name]],batting_stats[[player_name]:[sixes]],7,0),0)</f>
        <v>67.149253731343279</v>
      </c>
      <c r="F71" s="27">
        <f>_xlfn.IFNA(VLOOKUP(players[[#This Row],[player_name]],bowling_stats[[player_name]:[runs_conceded]],4,0),0)</f>
        <v>0</v>
      </c>
      <c r="G71" s="28">
        <f>_xlfn.IFNA(VLOOKUP(players[[#This Row],[player_name]],bowling_stats[[player_name]:[runs_conceded]],6,0),0)</f>
        <v>0</v>
      </c>
      <c r="H71"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6.7149253731343279</v>
      </c>
      <c r="I71" s="3" t="str">
        <f>IF(AND(players[[#This Row],[Rating]]&gt;7,players[[#This Row],[auction_price]]&lt;40000000),"Underatted",IF(AND(players[[#This Row],[Rating]]&lt;5,players[[#This Row],[auction_price]]&gt;40000000),"Overrated","Perfectly rated"))</f>
        <v>Perfectly rated</v>
      </c>
      <c r="J71" s="3" t="s">
        <v>23</v>
      </c>
    </row>
    <row r="72" spans="1:10" x14ac:dyDescent="0.2">
      <c r="A72" s="1" t="s">
        <v>146</v>
      </c>
      <c r="B72" s="2" t="s">
        <v>147</v>
      </c>
      <c r="C72" s="2" t="s">
        <v>15</v>
      </c>
      <c r="D72" s="29">
        <f>VLOOKUP(players[[#This Row],[player_name]],auction_data[],3,0)</f>
        <v>5000000</v>
      </c>
      <c r="E72" s="27">
        <f>_xlfn.IFNA(VLOOKUP(players[[#This Row],[player_name]],batting_stats[[player_name]:[sixes]],7,0),0)</f>
        <v>60.686567164179102</v>
      </c>
      <c r="F72" s="27">
        <f>_xlfn.IFNA(VLOOKUP(players[[#This Row],[player_name]],bowling_stats[[player_name]:[runs_conceded]],4,0),0)</f>
        <v>7.4424808269423144</v>
      </c>
      <c r="G72" s="28">
        <f>_xlfn.IFNA(VLOOKUP(players[[#This Row],[player_name]],bowling_stats[[player_name]:[runs_conceded]],6,0),0)</f>
        <v>1.1940298507462686</v>
      </c>
      <c r="H72"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13.820205740221866</v>
      </c>
      <c r="I72" s="3" t="str">
        <f>IF(AND(players[[#This Row],[Rating]]&gt;7,players[[#This Row],[auction_price]]&lt;40000000),"Underatted",IF(AND(players[[#This Row],[Rating]]&lt;5,players[[#This Row],[auction_price]]&gt;40000000),"Overrated","Perfectly rated"))</f>
        <v>Underatted</v>
      </c>
      <c r="J72" s="3" t="s">
        <v>7</v>
      </c>
    </row>
    <row r="73" spans="1:10" x14ac:dyDescent="0.2">
      <c r="A73" s="1" t="s">
        <v>148</v>
      </c>
      <c r="B73" s="2" t="s">
        <v>149</v>
      </c>
      <c r="C73" s="2" t="s">
        <v>18</v>
      </c>
      <c r="D73" s="29">
        <f>VLOOKUP(players[[#This Row],[player_name]],auction_data[],3,0)</f>
        <v>120000000</v>
      </c>
      <c r="E73" s="27">
        <f>_xlfn.IFNA(VLOOKUP(players[[#This Row],[player_name]],batting_stats[[player_name]:[sixes]],7,0),0)</f>
        <v>69.925373134328353</v>
      </c>
      <c r="F73" s="27">
        <f>_xlfn.IFNA(VLOOKUP(players[[#This Row],[player_name]],bowling_stats[[player_name]:[runs_conceded]],4,0),0)</f>
        <v>0</v>
      </c>
      <c r="G73" s="28">
        <f>_xlfn.IFNA(VLOOKUP(players[[#This Row],[player_name]],bowling_stats[[player_name]:[runs_conceded]],6,0),0)</f>
        <v>0</v>
      </c>
      <c r="H73"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6.9925373134328357</v>
      </c>
      <c r="I73" s="3" t="str">
        <f>IF(AND(players[[#This Row],[Rating]]&gt;7,players[[#This Row],[auction_price]]&lt;40000000),"Underatted",IF(AND(players[[#This Row],[Rating]]&lt;5,players[[#This Row],[auction_price]]&gt;40000000),"Overrated","Perfectly rated"))</f>
        <v>Perfectly rated</v>
      </c>
      <c r="J73" s="3" t="s">
        <v>23</v>
      </c>
    </row>
    <row r="74" spans="1:10" x14ac:dyDescent="0.2">
      <c r="A74" s="1" t="s">
        <v>150</v>
      </c>
      <c r="B74" s="2" t="s">
        <v>151</v>
      </c>
      <c r="C74" s="2" t="s">
        <v>12</v>
      </c>
      <c r="D74" s="29">
        <f>VLOOKUP(players[[#This Row],[player_name]],auction_data[],3,0)</f>
        <v>20000000</v>
      </c>
      <c r="E74" s="27">
        <f>_xlfn.IFNA(VLOOKUP(players[[#This Row],[player_name]],batting_stats[[player_name]:[sixes]],7,0),0)</f>
        <v>0</v>
      </c>
      <c r="F74" s="27">
        <f>_xlfn.IFNA(VLOOKUP(players[[#This Row],[player_name]],bowling_stats[[player_name]:[runs_conceded]],4,0),0)</f>
        <v>8.0888714117184417</v>
      </c>
      <c r="G74" s="28">
        <f>_xlfn.IFNA(VLOOKUP(players[[#This Row],[player_name]],bowling_stats[[player_name]:[runs_conceded]],6,0),0)</f>
        <v>1.6417910447761195</v>
      </c>
      <c r="H74"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7.5529196330576776</v>
      </c>
      <c r="I74" s="3" t="str">
        <f>IF(AND(players[[#This Row],[Rating]]&gt;7,players[[#This Row],[auction_price]]&lt;40000000),"Underatted",IF(AND(players[[#This Row],[Rating]]&lt;5,players[[#This Row],[auction_price]]&gt;40000000),"Overrated","Perfectly rated"))</f>
        <v>Underatted</v>
      </c>
      <c r="J74" s="3" t="s">
        <v>7</v>
      </c>
    </row>
    <row r="75" spans="1:10" x14ac:dyDescent="0.2">
      <c r="A75" s="1" t="s">
        <v>152</v>
      </c>
      <c r="B75" s="2" t="s">
        <v>153</v>
      </c>
      <c r="C75" s="2" t="s">
        <v>12</v>
      </c>
      <c r="D75" s="29">
        <f>VLOOKUP(players[[#This Row],[player_name]],auction_data[],3,0)</f>
        <v>2000000</v>
      </c>
      <c r="E75" s="27">
        <f>_xlfn.IFNA(VLOOKUP(players[[#This Row],[player_name]],batting_stats[[player_name]:[sixes]],7,0),0)</f>
        <v>5.0298507462686564</v>
      </c>
      <c r="F75" s="27">
        <f>_xlfn.IFNA(VLOOKUP(players[[#This Row],[player_name]],bowling_stats[[player_name]:[runs_conceded]],4,0),0)</f>
        <v>8.5949943117178602</v>
      </c>
      <c r="G75" s="28">
        <f>_xlfn.IFNA(VLOOKUP(players[[#This Row],[player_name]],bowling_stats[[player_name]:[runs_conceded]],6,0),0)</f>
        <v>0.68656716417910446</v>
      </c>
      <c r="H75"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6.091572852461244</v>
      </c>
      <c r="I75" s="3" t="str">
        <f>IF(AND(players[[#This Row],[Rating]]&gt;7,players[[#This Row],[auction_price]]&lt;40000000),"Underatted",IF(AND(players[[#This Row],[Rating]]&lt;5,players[[#This Row],[auction_price]]&gt;40000000),"Overrated","Perfectly rated"))</f>
        <v>Perfectly rated</v>
      </c>
      <c r="J75" s="3" t="s">
        <v>7</v>
      </c>
    </row>
    <row r="76" spans="1:10" x14ac:dyDescent="0.2">
      <c r="A76" s="1" t="s">
        <v>154</v>
      </c>
      <c r="B76" s="2" t="s">
        <v>155</v>
      </c>
      <c r="C76" s="2" t="s">
        <v>15</v>
      </c>
      <c r="D76" s="29">
        <f>VLOOKUP(players[[#This Row],[player_name]],auction_data[],3,0)</f>
        <v>170000000</v>
      </c>
      <c r="E76" s="27">
        <f>_xlfn.IFNA(VLOOKUP(players[[#This Row],[player_name]],batting_stats[[player_name]:[sixes]],7,0),0)</f>
        <v>63.64179104477612</v>
      </c>
      <c r="F76" s="27">
        <f>_xlfn.IFNA(VLOOKUP(players[[#This Row],[player_name]],bowling_stats[[player_name]:[runs_conceded]],4,0),0)</f>
        <v>7.3645320197044333</v>
      </c>
      <c r="G76" s="28">
        <f>_xlfn.IFNA(VLOOKUP(players[[#This Row],[player_name]],bowling_stats[[player_name]:[runs_conceded]],6,0),0)</f>
        <v>2.5074626865671643</v>
      </c>
      <c r="H76"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15.507109771340344</v>
      </c>
      <c r="I76" s="3" t="str">
        <f>IF(AND(players[[#This Row],[Rating]]&gt;7,players[[#This Row],[auction_price]]&lt;40000000),"Underatted",IF(AND(players[[#This Row],[Rating]]&lt;5,players[[#This Row],[auction_price]]&gt;40000000),"Overrated","Perfectly rated"))</f>
        <v>Perfectly rated</v>
      </c>
      <c r="J76" s="3" t="s">
        <v>7</v>
      </c>
    </row>
    <row r="77" spans="1:10" x14ac:dyDescent="0.2">
      <c r="A77" s="1" t="s">
        <v>156</v>
      </c>
      <c r="B77" s="2" t="s">
        <v>157</v>
      </c>
      <c r="C77" s="2" t="s">
        <v>15</v>
      </c>
      <c r="D77" s="29">
        <f>VLOOKUP(players[[#This Row],[player_name]],auction_data[],3,0)</f>
        <v>160000000</v>
      </c>
      <c r="E77" s="27">
        <f>_xlfn.IFNA(VLOOKUP(players[[#This Row],[player_name]],batting_stats[[player_name]:[sixes]],7,0),0)</f>
        <v>73.97014925373135</v>
      </c>
      <c r="F77" s="27">
        <f>_xlfn.IFNA(VLOOKUP(players[[#This Row],[player_name]],bowling_stats[[player_name]:[runs_conceded]],4,0),0)</f>
        <v>8.088803088803088</v>
      </c>
      <c r="G77" s="28">
        <f>_xlfn.IFNA(VLOOKUP(players[[#This Row],[player_name]],bowling_stats[[player_name]:[runs_conceded]],6,0),0)</f>
        <v>0.62686567164179108</v>
      </c>
      <c r="H77"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13.935077508211839</v>
      </c>
      <c r="I77" s="3" t="str">
        <f>IF(AND(players[[#This Row],[Rating]]&gt;7,players[[#This Row],[auction_price]]&lt;40000000),"Underatted",IF(AND(players[[#This Row],[Rating]]&lt;5,players[[#This Row],[auction_price]]&gt;40000000),"Overrated","Perfectly rated"))</f>
        <v>Perfectly rated</v>
      </c>
      <c r="J77" s="3" t="s">
        <v>7</v>
      </c>
    </row>
    <row r="78" spans="1:10" x14ac:dyDescent="0.2">
      <c r="A78" s="1" t="s">
        <v>158</v>
      </c>
      <c r="B78" s="2" t="s">
        <v>159</v>
      </c>
      <c r="C78" s="2" t="s">
        <v>12</v>
      </c>
      <c r="D78" s="29">
        <f>VLOOKUP(players[[#This Row],[player_name]],auction_data[],3,0)</f>
        <v>50000000</v>
      </c>
      <c r="E78" s="27">
        <f>_xlfn.IFNA(VLOOKUP(players[[#This Row],[player_name]],batting_stats[[player_name]:[sixes]],7,0),0)</f>
        <v>0</v>
      </c>
      <c r="F78" s="27">
        <f>_xlfn.IFNA(VLOOKUP(players[[#This Row],[player_name]],bowling_stats[[player_name]:[runs_conceded]],4,0),0)</f>
        <v>8.4889262685730316</v>
      </c>
      <c r="G78" s="28">
        <f>_xlfn.IFNA(VLOOKUP(players[[#This Row],[player_name]],bowling_stats[[player_name]:[runs_conceded]],6,0),0)</f>
        <v>1.2835820895522387</v>
      </c>
      <c r="H78"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6.794655820979207</v>
      </c>
      <c r="I78" s="3" t="str">
        <f>IF(AND(players[[#This Row],[Rating]]&gt;7,players[[#This Row],[auction_price]]&lt;40000000),"Underatted",IF(AND(players[[#This Row],[Rating]]&lt;5,players[[#This Row],[auction_price]]&gt;40000000),"Overrated","Perfectly rated"))</f>
        <v>Perfectly rated</v>
      </c>
      <c r="J78" s="3" t="s">
        <v>7</v>
      </c>
    </row>
    <row r="79" spans="1:10" x14ac:dyDescent="0.2">
      <c r="A79" s="1" t="s">
        <v>160</v>
      </c>
      <c r="B79" s="2" t="s">
        <v>161</v>
      </c>
      <c r="C79" s="2" t="s">
        <v>6</v>
      </c>
      <c r="D79" s="29">
        <f>VLOOKUP(players[[#This Row],[player_name]],auction_data[],3,0)</f>
        <v>80000000</v>
      </c>
      <c r="E79" s="27">
        <f>_xlfn.IFNA(VLOOKUP(players[[#This Row],[player_name]],batting_stats[[player_name]:[sixes]],7,0),0)</f>
        <v>80.522388059701498</v>
      </c>
      <c r="F79" s="27">
        <f>_xlfn.IFNA(VLOOKUP(players[[#This Row],[player_name]],bowling_stats[[player_name]:[runs_conceded]],4,0),0)</f>
        <v>0</v>
      </c>
      <c r="G79" s="28">
        <f>_xlfn.IFNA(VLOOKUP(players[[#This Row],[player_name]],bowling_stats[[player_name]:[runs_conceded]],6,0),0)</f>
        <v>0</v>
      </c>
      <c r="H79"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8.0522388059701502</v>
      </c>
      <c r="I79" s="3" t="str">
        <f>IF(AND(players[[#This Row],[Rating]]&gt;7,players[[#This Row],[auction_price]]&lt;40000000),"Underatted",IF(AND(players[[#This Row],[Rating]]&lt;5,players[[#This Row],[auction_price]]&gt;40000000),"Overrated","Perfectly rated"))</f>
        <v>Perfectly rated</v>
      </c>
      <c r="J79" s="3" t="s">
        <v>7</v>
      </c>
    </row>
    <row r="80" spans="1:10" x14ac:dyDescent="0.2">
      <c r="A80" s="1" t="s">
        <v>162</v>
      </c>
      <c r="B80" s="2" t="s">
        <v>163</v>
      </c>
      <c r="C80" s="2" t="s">
        <v>6</v>
      </c>
      <c r="D80" s="29">
        <f>VLOOKUP(players[[#This Row],[player_name]],auction_data[],3,0)</f>
        <v>40000000</v>
      </c>
      <c r="E80" s="27">
        <f>_xlfn.IFNA(VLOOKUP(players[[#This Row],[player_name]],batting_stats[[player_name]:[sixes]],7,0),0)</f>
        <v>90.507462686567166</v>
      </c>
      <c r="F80" s="27">
        <f>_xlfn.IFNA(VLOOKUP(players[[#This Row],[player_name]],bowling_stats[[player_name]:[runs_conceded]],4,0),0)</f>
        <v>0</v>
      </c>
      <c r="G80" s="28">
        <f>_xlfn.IFNA(VLOOKUP(players[[#This Row],[player_name]],bowling_stats[[player_name]:[runs_conceded]],6,0),0)</f>
        <v>0</v>
      </c>
      <c r="H80"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9.0507462686567166</v>
      </c>
      <c r="I80" s="3" t="str">
        <f>IF(AND(players[[#This Row],[Rating]]&gt;7,players[[#This Row],[auction_price]]&lt;40000000),"Underatted",IF(AND(players[[#This Row],[Rating]]&lt;5,players[[#This Row],[auction_price]]&gt;40000000),"Overrated","Perfectly rated"))</f>
        <v>Perfectly rated</v>
      </c>
      <c r="J80" s="3" t="s">
        <v>7</v>
      </c>
    </row>
    <row r="81" spans="1:10" x14ac:dyDescent="0.2">
      <c r="A81" s="1" t="s">
        <v>164</v>
      </c>
      <c r="B81" s="2" t="s">
        <v>165</v>
      </c>
      <c r="C81" s="2" t="s">
        <v>18</v>
      </c>
      <c r="D81" s="29">
        <f>VLOOKUP(players[[#This Row],[player_name]],auction_data[],3,0)</f>
        <v>40000000</v>
      </c>
      <c r="E81" s="27">
        <f>_xlfn.IFNA(VLOOKUP(players[[#This Row],[player_name]],batting_stats[[player_name]:[sixes]],7,0),0)</f>
        <v>106.22950819672131</v>
      </c>
      <c r="F81" s="27">
        <f>_xlfn.IFNA(VLOOKUP(players[[#This Row],[player_name]],bowling_stats[[player_name]:[runs_conceded]],4,0),0)</f>
        <v>0</v>
      </c>
      <c r="G81" s="28">
        <f>_xlfn.IFNA(VLOOKUP(players[[#This Row],[player_name]],bowling_stats[[player_name]:[runs_conceded]],6,0),0)</f>
        <v>0</v>
      </c>
      <c r="H81"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10.622950819672131</v>
      </c>
      <c r="I81" s="3" t="str">
        <f>IF(AND(players[[#This Row],[Rating]]&gt;7,players[[#This Row],[auction_price]]&lt;40000000),"Underatted",IF(AND(players[[#This Row],[Rating]]&lt;5,players[[#This Row],[auction_price]]&gt;40000000),"Overrated","Perfectly rated"))</f>
        <v>Perfectly rated</v>
      </c>
      <c r="J81" s="3" t="s">
        <v>7</v>
      </c>
    </row>
    <row r="82" spans="1:10" x14ac:dyDescent="0.2">
      <c r="A82" s="1" t="s">
        <v>166</v>
      </c>
      <c r="B82" s="2" t="s">
        <v>167</v>
      </c>
      <c r="C82" s="2" t="s">
        <v>18</v>
      </c>
      <c r="D82" s="29">
        <f>VLOOKUP(players[[#This Row],[player_name]],auction_data[],3,0)</f>
        <v>50000000</v>
      </c>
      <c r="E82" s="27">
        <f>_xlfn.IFNA(VLOOKUP(players[[#This Row],[player_name]],batting_stats[[player_name]:[sixes]],7,0),0)</f>
        <v>54.606557377049178</v>
      </c>
      <c r="F82" s="27">
        <f>_xlfn.IFNA(VLOOKUP(players[[#This Row],[player_name]],bowling_stats[[player_name]:[runs_conceded]],4,0),0)</f>
        <v>0</v>
      </c>
      <c r="G82" s="28">
        <f>_xlfn.IFNA(VLOOKUP(players[[#This Row],[player_name]],bowling_stats[[player_name]:[runs_conceded]],6,0),0)</f>
        <v>0</v>
      </c>
      <c r="H82"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5.4606557377049176</v>
      </c>
      <c r="I82" s="3" t="str">
        <f>IF(AND(players[[#This Row],[Rating]]&gt;7,players[[#This Row],[auction_price]]&lt;40000000),"Underatted",IF(AND(players[[#This Row],[Rating]]&lt;5,players[[#This Row],[auction_price]]&gt;40000000),"Overrated","Perfectly rated"))</f>
        <v>Perfectly rated</v>
      </c>
      <c r="J82" s="3" t="s">
        <v>23</v>
      </c>
    </row>
    <row r="83" spans="1:10" x14ac:dyDescent="0.2">
      <c r="A83" s="1" t="s">
        <v>168</v>
      </c>
      <c r="B83" s="2" t="s">
        <v>169</v>
      </c>
      <c r="C83" s="2" t="s">
        <v>15</v>
      </c>
      <c r="D83" s="29">
        <f>VLOOKUP(players[[#This Row],[player_name]],auction_data[],3,0)</f>
        <v>80000000</v>
      </c>
      <c r="E83" s="27">
        <f>_xlfn.IFNA(VLOOKUP(players[[#This Row],[player_name]],batting_stats[[player_name]:[sixes]],7,0),0)</f>
        <v>32.344262295081968</v>
      </c>
      <c r="F83" s="27">
        <f>_xlfn.IFNA(VLOOKUP(players[[#This Row],[player_name]],bowling_stats[[player_name]:[runs_conceded]],4,0),0)</f>
        <v>7.3462857142857141</v>
      </c>
      <c r="G83" s="28">
        <f>_xlfn.IFNA(VLOOKUP(players[[#This Row],[player_name]],bowling_stats[[player_name]:[runs_conceded]],6,0),0)</f>
        <v>2.901639344262295</v>
      </c>
      <c r="H83"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12.789779859484778</v>
      </c>
      <c r="I83" s="3" t="str">
        <f>IF(AND(players[[#This Row],[Rating]]&gt;7,players[[#This Row],[auction_price]]&lt;40000000),"Underatted",IF(AND(players[[#This Row],[Rating]]&lt;5,players[[#This Row],[auction_price]]&gt;40000000),"Overrated","Perfectly rated"))</f>
        <v>Perfectly rated</v>
      </c>
      <c r="J83" s="3" t="s">
        <v>23</v>
      </c>
    </row>
    <row r="84" spans="1:10" x14ac:dyDescent="0.2">
      <c r="A84" s="1" t="s">
        <v>170</v>
      </c>
      <c r="B84" s="2" t="s">
        <v>171</v>
      </c>
      <c r="C84" s="2" t="s">
        <v>12</v>
      </c>
      <c r="D84" s="29">
        <f>VLOOKUP(players[[#This Row],[player_name]],auction_data[],3,0)</f>
        <v>120000000</v>
      </c>
      <c r="E84" s="27">
        <f>_xlfn.IFNA(VLOOKUP(players[[#This Row],[player_name]],batting_stats[[player_name]:[sixes]],7,0),0)</f>
        <v>3.9672131147540983</v>
      </c>
      <c r="F84" s="27">
        <f>_xlfn.IFNA(VLOOKUP(players[[#This Row],[player_name]],bowling_stats[[player_name]:[runs_conceded]],4,0),0)</f>
        <v>7.6959479443951491</v>
      </c>
      <c r="G84" s="28">
        <f>_xlfn.IFNA(VLOOKUP(players[[#This Row],[player_name]],bowling_stats[[player_name]:[runs_conceded]],6,0),0)</f>
        <v>1.6721311475409837</v>
      </c>
      <c r="H84"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7.9761832031458351</v>
      </c>
      <c r="I84" s="3" t="str">
        <f>IF(AND(players[[#This Row],[Rating]]&gt;7,players[[#This Row],[auction_price]]&lt;40000000),"Underatted",IF(AND(players[[#This Row],[Rating]]&lt;5,players[[#This Row],[auction_price]]&gt;40000000),"Overrated","Perfectly rated"))</f>
        <v>Perfectly rated</v>
      </c>
      <c r="J84" s="3" t="s">
        <v>7</v>
      </c>
    </row>
    <row r="85" spans="1:10" x14ac:dyDescent="0.2">
      <c r="A85" s="1" t="s">
        <v>172</v>
      </c>
      <c r="B85" s="2" t="s">
        <v>173</v>
      </c>
      <c r="C85" s="2" t="s">
        <v>18</v>
      </c>
      <c r="D85" s="29">
        <f>VLOOKUP(players[[#This Row],[player_name]],auction_data[],3,0)</f>
        <v>70000000</v>
      </c>
      <c r="E85" s="27">
        <f>_xlfn.IFNA(VLOOKUP(players[[#This Row],[player_name]],batting_stats[[player_name]:[sixes]],7,0),0)</f>
        <v>56.672131147540981</v>
      </c>
      <c r="F85" s="27">
        <f>_xlfn.IFNA(VLOOKUP(players[[#This Row],[player_name]],bowling_stats[[player_name]:[runs_conceded]],4,0),0)</f>
        <v>0</v>
      </c>
      <c r="G85" s="28">
        <f>_xlfn.IFNA(VLOOKUP(players[[#This Row],[player_name]],bowling_stats[[player_name]:[runs_conceded]],6,0),0)</f>
        <v>0</v>
      </c>
      <c r="H85"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5.6672131147540981</v>
      </c>
      <c r="I85" s="3" t="str">
        <f>IF(AND(players[[#This Row],[Rating]]&gt;7,players[[#This Row],[auction_price]]&lt;40000000),"Underatted",IF(AND(players[[#This Row],[Rating]]&lt;5,players[[#This Row],[auction_price]]&gt;40000000),"Overrated","Perfectly rated"))</f>
        <v>Perfectly rated</v>
      </c>
      <c r="J85" s="3" t="s">
        <v>23</v>
      </c>
    </row>
    <row r="86" spans="1:10" x14ac:dyDescent="0.2">
      <c r="A86" s="1" t="s">
        <v>174</v>
      </c>
      <c r="B86" s="2" t="s">
        <v>175</v>
      </c>
      <c r="C86" s="2" t="s">
        <v>6</v>
      </c>
      <c r="D86" s="29">
        <f>VLOOKUP(players[[#This Row],[player_name]],auction_data[],3,0)</f>
        <v>150000000</v>
      </c>
      <c r="E86" s="27">
        <f>_xlfn.IFNA(VLOOKUP(players[[#This Row],[player_name]],batting_stats[[player_name]:[sixes]],7,0),0)</f>
        <v>20.16393442622951</v>
      </c>
      <c r="F86" s="27">
        <f>_xlfn.IFNA(VLOOKUP(players[[#This Row],[player_name]],bowling_stats[[player_name]:[runs_conceded]],4,0),0)</f>
        <v>0</v>
      </c>
      <c r="G86" s="28">
        <f>_xlfn.IFNA(VLOOKUP(players[[#This Row],[player_name]],bowling_stats[[player_name]:[runs_conceded]],6,0),0)</f>
        <v>0</v>
      </c>
      <c r="H86"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2.0163934426229511</v>
      </c>
      <c r="I86" s="3" t="str">
        <f>IF(AND(players[[#This Row],[Rating]]&gt;7,players[[#This Row],[auction_price]]&lt;40000000),"Underatted",IF(AND(players[[#This Row],[Rating]]&lt;5,players[[#This Row],[auction_price]]&gt;40000000),"Overrated","Perfectly rated"))</f>
        <v>Overrated</v>
      </c>
      <c r="J86" s="3" t="s">
        <v>7</v>
      </c>
    </row>
    <row r="87" spans="1:10" x14ac:dyDescent="0.2">
      <c r="A87" s="1" t="s">
        <v>176</v>
      </c>
      <c r="B87" s="2" t="s">
        <v>177</v>
      </c>
      <c r="C87" s="2" t="s">
        <v>15</v>
      </c>
      <c r="D87" s="29">
        <f>VLOOKUP(players[[#This Row],[player_name]],auction_data[],3,0)</f>
        <v>170000000</v>
      </c>
      <c r="E87" s="27">
        <f>_xlfn.IFNA(VLOOKUP(players[[#This Row],[player_name]],batting_stats[[player_name]:[sixes]],7,0),0)</f>
        <v>24.065573770491802</v>
      </c>
      <c r="F87" s="27">
        <f>_xlfn.IFNA(VLOOKUP(players[[#This Row],[player_name]],bowling_stats[[player_name]:[runs_conceded]],4,0),0)</f>
        <v>7.5448979591836736</v>
      </c>
      <c r="G87" s="28">
        <f>_xlfn.IFNA(VLOOKUP(players[[#This Row],[player_name]],bowling_stats[[player_name]:[runs_conceded]],6,0),0)</f>
        <v>2.098360655737705</v>
      </c>
      <c r="H87"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10.960020073603213</v>
      </c>
      <c r="I87" s="3" t="str">
        <f>IF(AND(players[[#This Row],[Rating]]&gt;7,players[[#This Row],[auction_price]]&lt;40000000),"Underatted",IF(AND(players[[#This Row],[Rating]]&lt;5,players[[#This Row],[auction_price]]&gt;40000000),"Overrated","Perfectly rated"))</f>
        <v>Perfectly rated</v>
      </c>
      <c r="J87" s="3" t="s">
        <v>7</v>
      </c>
    </row>
    <row r="88" spans="1:10" x14ac:dyDescent="0.2">
      <c r="A88" s="1" t="s">
        <v>178</v>
      </c>
      <c r="B88" s="2" t="s">
        <v>179</v>
      </c>
      <c r="C88" s="2" t="s">
        <v>12</v>
      </c>
      <c r="D88" s="29">
        <f>VLOOKUP(players[[#This Row],[player_name]],auction_data[],3,0)</f>
        <v>160000000</v>
      </c>
      <c r="E88" s="27">
        <f>_xlfn.IFNA(VLOOKUP(players[[#This Row],[player_name]],batting_stats[[player_name]:[sixes]],7,0),0)</f>
        <v>3.7049180327868854</v>
      </c>
      <c r="F88" s="27">
        <f>_xlfn.IFNA(VLOOKUP(players[[#This Row],[player_name]],bowling_stats[[player_name]:[runs_conceded]],4,0),0)</f>
        <v>8.1477572559366749</v>
      </c>
      <c r="G88" s="28">
        <f>_xlfn.IFNA(VLOOKUP(players[[#This Row],[player_name]],bowling_stats[[player_name]:[runs_conceded]],6,0),0)</f>
        <v>1.4262295081967213</v>
      </c>
      <c r="H88"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7.2784722522600465</v>
      </c>
      <c r="I88" s="3" t="str">
        <f>IF(AND(players[[#This Row],[Rating]]&gt;7,players[[#This Row],[auction_price]]&lt;40000000),"Underatted",IF(AND(players[[#This Row],[Rating]]&lt;5,players[[#This Row],[auction_price]]&gt;40000000),"Overrated","Perfectly rated"))</f>
        <v>Perfectly rated</v>
      </c>
      <c r="J88" s="3" t="s">
        <v>23</v>
      </c>
    </row>
    <row r="89" spans="1:10" x14ac:dyDescent="0.2">
      <c r="A89" s="1" t="s">
        <v>180</v>
      </c>
      <c r="B89" s="2" t="s">
        <v>181</v>
      </c>
      <c r="C89" s="2" t="s">
        <v>12</v>
      </c>
      <c r="D89" s="29">
        <f>VLOOKUP(players[[#This Row],[player_name]],auction_data[],3,0)</f>
        <v>20000000</v>
      </c>
      <c r="E89" s="27">
        <f>_xlfn.IFNA(VLOOKUP(players[[#This Row],[player_name]],batting_stats[[player_name]:[sixes]],7,0),0)</f>
        <v>3.3934426229508197</v>
      </c>
      <c r="F89" s="27">
        <f>_xlfn.IFNA(VLOOKUP(players[[#This Row],[player_name]],bowling_stats[[player_name]:[runs_conceded]],4,0),0)</f>
        <v>7.2866065232477446</v>
      </c>
      <c r="G89" s="28">
        <f>_xlfn.IFNA(VLOOKUP(players[[#This Row],[player_name]],bowling_stats[[player_name]:[runs_conceded]],6,0),0)</f>
        <v>1.901639344262295</v>
      </c>
      <c r="H89"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8.6150328210145499</v>
      </c>
      <c r="I89" s="3" t="str">
        <f>IF(AND(players[[#This Row],[Rating]]&gt;7,players[[#This Row],[auction_price]]&lt;40000000),"Underatted",IF(AND(players[[#This Row],[Rating]]&lt;5,players[[#This Row],[auction_price]]&gt;40000000),"Overrated","Perfectly rated"))</f>
        <v>Underatted</v>
      </c>
      <c r="J89" s="3" t="s">
        <v>7</v>
      </c>
    </row>
    <row r="90" spans="1:10" x14ac:dyDescent="0.2">
      <c r="A90" s="1" t="s">
        <v>182</v>
      </c>
      <c r="B90" s="2" t="s">
        <v>183</v>
      </c>
      <c r="C90" s="2" t="s">
        <v>12</v>
      </c>
      <c r="D90" s="29">
        <f>VLOOKUP(players[[#This Row],[player_name]],auction_data[],3,0)</f>
        <v>2000000</v>
      </c>
      <c r="E90" s="27">
        <f>_xlfn.IFNA(VLOOKUP(players[[#This Row],[player_name]],batting_stats[[player_name]:[sixes]],7,0),0)</f>
        <v>0</v>
      </c>
      <c r="F90" s="27">
        <f>_xlfn.IFNA(VLOOKUP(players[[#This Row],[player_name]],bowling_stats[[player_name]:[runs_conceded]],4,0),0)</f>
        <v>8.4212208373282209</v>
      </c>
      <c r="G90" s="28">
        <f>_xlfn.IFNA(VLOOKUP(players[[#This Row],[player_name]],bowling_stats[[player_name]:[runs_conceded]],6,0),0)</f>
        <v>1.1311475409836065</v>
      </c>
      <c r="H90"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6.7099267036553858</v>
      </c>
      <c r="I90" s="3" t="str">
        <f>IF(AND(players[[#This Row],[Rating]]&gt;7,players[[#This Row],[auction_price]]&lt;40000000),"Underatted",IF(AND(players[[#This Row],[Rating]]&lt;5,players[[#This Row],[auction_price]]&gt;40000000),"Overrated","Perfectly rated"))</f>
        <v>Perfectly rated</v>
      </c>
      <c r="J90" s="3" t="s">
        <v>7</v>
      </c>
    </row>
    <row r="91" spans="1:10" x14ac:dyDescent="0.2">
      <c r="A91" s="4" t="s">
        <v>184</v>
      </c>
      <c r="B91" s="5" t="s">
        <v>185</v>
      </c>
      <c r="C91" s="5" t="s">
        <v>6</v>
      </c>
      <c r="D91" s="29">
        <f>VLOOKUP(players[[#This Row],[player_name]],auction_data[],3,0)</f>
        <v>5000000</v>
      </c>
      <c r="E91" s="27">
        <f>_xlfn.IFNA(VLOOKUP(players[[#This Row],[player_name]],batting_stats[[player_name]:[sixes]],7,0),0)</f>
        <v>51.983606557377051</v>
      </c>
      <c r="F91" s="27">
        <f>_xlfn.IFNA(VLOOKUP(players[[#This Row],[player_name]],bowling_stats[[player_name]:[runs_conceded]],4,0),0)</f>
        <v>0</v>
      </c>
      <c r="G91" s="28">
        <f>_xlfn.IFNA(VLOOKUP(players[[#This Row],[player_name]],bowling_stats[[player_name]:[runs_conceded]],6,0),0)</f>
        <v>0</v>
      </c>
      <c r="H91" s="28">
        <f>IF(players[[#This Row],[role]]="Batsman",(players[[#This Row],[Batting avg]]/10),IF(players[[#This Row],[role]]="Bowler",(-players[[#This Row],[Economy]]+14+players[[#This Row],[Avg Wicket/match]]),IF(players[[#This Row],[role]]="Wicketkeeper",(players[[#This Row],[Batting avg]]/10),((players[[#This Row],[Batting avg]]/10)+(-players[[#This Row],[Economy]]+14+players[[#This Row],[Avg Wicket/match]])))))</f>
        <v>5.1983606557377051</v>
      </c>
      <c r="I91" s="3" t="str">
        <f>IF(AND(players[[#This Row],[Rating]]&gt;7,players[[#This Row],[auction_price]]&lt;40000000),"Underatted",IF(AND(players[[#This Row],[Rating]]&lt;5,players[[#This Row],[auction_price]]&gt;40000000),"Overrated","Perfectly rated"))</f>
        <v>Perfectly rated</v>
      </c>
      <c r="J91" s="6" t="s">
        <v>7</v>
      </c>
    </row>
  </sheetData>
  <mergeCells count="1">
    <mergeCell ref="A1:J2"/>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6D0D5-2451-4D40-A61A-F1BE5D8E0291}">
  <dimension ref="A1:J253"/>
  <sheetViews>
    <sheetView topLeftCell="A218" workbookViewId="0">
      <selection activeCell="G9" sqref="G9"/>
    </sheetView>
  </sheetViews>
  <sheetFormatPr baseColWidth="10" defaultRowHeight="16" x14ac:dyDescent="0.2"/>
  <cols>
    <col min="1" max="1" width="13.83203125" bestFit="1" customWidth="1"/>
    <col min="2" max="2" width="12.1640625" bestFit="1" customWidth="1"/>
    <col min="3" max="3" width="39.6640625" bestFit="1" customWidth="1"/>
    <col min="4" max="4" width="28.6640625" bestFit="1" customWidth="1"/>
    <col min="5" max="5" width="24.5" bestFit="1" customWidth="1"/>
  </cols>
  <sheetData>
    <row r="1" spans="1:10" x14ac:dyDescent="0.2">
      <c r="A1" s="14" t="s">
        <v>466</v>
      </c>
      <c r="B1" s="14"/>
      <c r="C1" s="14"/>
      <c r="D1" s="14"/>
      <c r="E1" s="14"/>
    </row>
    <row r="2" spans="1:10" x14ac:dyDescent="0.2">
      <c r="A2" s="14"/>
      <c r="B2" s="14"/>
      <c r="C2" s="14"/>
      <c r="D2" s="14"/>
      <c r="E2" s="14"/>
    </row>
    <row r="3" spans="1:10" x14ac:dyDescent="0.2">
      <c r="A3" s="11" t="s">
        <v>187</v>
      </c>
      <c r="B3" s="11" t="s">
        <v>188</v>
      </c>
      <c r="C3" s="11" t="s">
        <v>189</v>
      </c>
      <c r="D3" s="24" t="s">
        <v>475</v>
      </c>
      <c r="E3" s="11" t="s">
        <v>190</v>
      </c>
    </row>
    <row r="4" spans="1:10" x14ac:dyDescent="0.2">
      <c r="A4" s="10" t="s">
        <v>191</v>
      </c>
      <c r="B4" s="10">
        <v>2023</v>
      </c>
      <c r="C4" s="10" t="s">
        <v>192</v>
      </c>
      <c r="D4" s="23" t="s">
        <v>203</v>
      </c>
      <c r="E4" s="10" t="s">
        <v>193</v>
      </c>
    </row>
    <row r="5" spans="1:10" x14ac:dyDescent="0.2">
      <c r="A5" s="10" t="s">
        <v>194</v>
      </c>
      <c r="B5" s="10">
        <v>2025</v>
      </c>
      <c r="C5" s="10" t="s">
        <v>195</v>
      </c>
      <c r="D5" s="23" t="s">
        <v>220</v>
      </c>
      <c r="E5" s="10" t="s">
        <v>193</v>
      </c>
    </row>
    <row r="6" spans="1:10" x14ac:dyDescent="0.2">
      <c r="A6" s="10" t="s">
        <v>196</v>
      </c>
      <c r="B6" s="10">
        <v>2024</v>
      </c>
      <c r="C6" s="10" t="s">
        <v>197</v>
      </c>
      <c r="D6" s="23" t="s">
        <v>220</v>
      </c>
      <c r="E6" s="10" t="s">
        <v>198</v>
      </c>
    </row>
    <row r="7" spans="1:10" x14ac:dyDescent="0.2">
      <c r="A7" s="10" t="s">
        <v>199</v>
      </c>
      <c r="B7" s="10">
        <v>2022</v>
      </c>
      <c r="C7" s="10" t="s">
        <v>200</v>
      </c>
      <c r="D7" s="23" t="s">
        <v>203</v>
      </c>
      <c r="E7" s="10" t="s">
        <v>201</v>
      </c>
      <c r="J7" s="13"/>
    </row>
    <row r="8" spans="1:10" x14ac:dyDescent="0.2">
      <c r="A8" s="10" t="s">
        <v>202</v>
      </c>
      <c r="B8" s="10">
        <v>2022</v>
      </c>
      <c r="C8" s="10" t="s">
        <v>200</v>
      </c>
      <c r="D8" s="23" t="s">
        <v>201</v>
      </c>
      <c r="E8" s="10" t="s">
        <v>203</v>
      </c>
      <c r="H8" s="12"/>
    </row>
    <row r="9" spans="1:10" x14ac:dyDescent="0.2">
      <c r="A9" s="10" t="s">
        <v>204</v>
      </c>
      <c r="B9" s="10">
        <v>2025</v>
      </c>
      <c r="C9" s="10" t="s">
        <v>197</v>
      </c>
      <c r="D9" s="23" t="s">
        <v>210</v>
      </c>
      <c r="E9" s="10" t="s">
        <v>205</v>
      </c>
    </row>
    <row r="10" spans="1:10" x14ac:dyDescent="0.2">
      <c r="A10" s="10" t="s">
        <v>206</v>
      </c>
      <c r="B10" s="10">
        <v>2022</v>
      </c>
      <c r="C10" s="10" t="s">
        <v>207</v>
      </c>
      <c r="D10" s="23" t="s">
        <v>210</v>
      </c>
      <c r="E10" s="10" t="s">
        <v>198</v>
      </c>
    </row>
    <row r="11" spans="1:10" x14ac:dyDescent="0.2">
      <c r="A11" s="10" t="s">
        <v>208</v>
      </c>
      <c r="B11" s="10">
        <v>2021</v>
      </c>
      <c r="C11" s="10" t="s">
        <v>209</v>
      </c>
      <c r="D11" s="23" t="s">
        <v>201</v>
      </c>
      <c r="E11" s="10" t="s">
        <v>210</v>
      </c>
    </row>
    <row r="12" spans="1:10" x14ac:dyDescent="0.2">
      <c r="A12" s="10" t="s">
        <v>211</v>
      </c>
      <c r="B12" s="10">
        <v>2022</v>
      </c>
      <c r="C12" s="10" t="s">
        <v>207</v>
      </c>
      <c r="D12" s="23" t="s">
        <v>205</v>
      </c>
      <c r="E12" s="10" t="s">
        <v>203</v>
      </c>
    </row>
    <row r="13" spans="1:10" x14ac:dyDescent="0.2">
      <c r="A13" s="10" t="s">
        <v>212</v>
      </c>
      <c r="B13" s="10">
        <v>2025</v>
      </c>
      <c r="C13" s="10" t="s">
        <v>192</v>
      </c>
      <c r="D13" s="23" t="s">
        <v>220</v>
      </c>
      <c r="E13" s="10" t="s">
        <v>203</v>
      </c>
    </row>
    <row r="14" spans="1:10" x14ac:dyDescent="0.2">
      <c r="A14" s="10" t="s">
        <v>213</v>
      </c>
      <c r="B14" s="10">
        <v>2024</v>
      </c>
      <c r="C14" s="10" t="s">
        <v>214</v>
      </c>
      <c r="D14" s="23" t="s">
        <v>203</v>
      </c>
      <c r="E14" s="10" t="s">
        <v>215</v>
      </c>
    </row>
    <row r="15" spans="1:10" x14ac:dyDescent="0.2">
      <c r="A15" s="10" t="s">
        <v>216</v>
      </c>
      <c r="B15" s="10">
        <v>2025</v>
      </c>
      <c r="C15" s="10" t="s">
        <v>209</v>
      </c>
      <c r="D15" s="23" t="s">
        <v>203</v>
      </c>
      <c r="E15" s="10" t="s">
        <v>210</v>
      </c>
    </row>
    <row r="16" spans="1:10" x14ac:dyDescent="0.2">
      <c r="A16" s="10" t="s">
        <v>217</v>
      </c>
      <c r="B16" s="10">
        <v>2025</v>
      </c>
      <c r="C16" s="10" t="s">
        <v>200</v>
      </c>
      <c r="D16" s="23" t="s">
        <v>215</v>
      </c>
      <c r="E16" s="10" t="s">
        <v>205</v>
      </c>
    </row>
    <row r="17" spans="1:5" x14ac:dyDescent="0.2">
      <c r="A17" s="10" t="s">
        <v>218</v>
      </c>
      <c r="B17" s="10">
        <v>2021</v>
      </c>
      <c r="C17" s="10" t="s">
        <v>200</v>
      </c>
      <c r="D17" s="23" t="s">
        <v>220</v>
      </c>
      <c r="E17" s="10" t="s">
        <v>203</v>
      </c>
    </row>
    <row r="18" spans="1:5" x14ac:dyDescent="0.2">
      <c r="A18" s="10" t="s">
        <v>219</v>
      </c>
      <c r="B18" s="10">
        <v>2022</v>
      </c>
      <c r="C18" s="10" t="s">
        <v>214</v>
      </c>
      <c r="D18" s="23" t="s">
        <v>205</v>
      </c>
      <c r="E18" s="10" t="s">
        <v>220</v>
      </c>
    </row>
    <row r="19" spans="1:5" x14ac:dyDescent="0.2">
      <c r="A19" s="10" t="s">
        <v>221</v>
      </c>
      <c r="B19" s="10">
        <v>2023</v>
      </c>
      <c r="C19" s="10" t="s">
        <v>207</v>
      </c>
      <c r="D19" s="23" t="s">
        <v>215</v>
      </c>
      <c r="E19" s="10" t="s">
        <v>210</v>
      </c>
    </row>
    <row r="20" spans="1:5" x14ac:dyDescent="0.2">
      <c r="A20" s="10" t="s">
        <v>222</v>
      </c>
      <c r="B20" s="10">
        <v>2023</v>
      </c>
      <c r="C20" s="10" t="s">
        <v>223</v>
      </c>
      <c r="D20" s="23" t="s">
        <v>220</v>
      </c>
      <c r="E20" s="10" t="s">
        <v>201</v>
      </c>
    </row>
    <row r="21" spans="1:5" x14ac:dyDescent="0.2">
      <c r="A21" s="10" t="s">
        <v>224</v>
      </c>
      <c r="B21" s="10">
        <v>2023</v>
      </c>
      <c r="C21" s="10" t="s">
        <v>207</v>
      </c>
      <c r="D21" s="23" t="s">
        <v>210</v>
      </c>
      <c r="E21" s="10" t="s">
        <v>220</v>
      </c>
    </row>
    <row r="22" spans="1:5" x14ac:dyDescent="0.2">
      <c r="A22" s="10" t="s">
        <v>225</v>
      </c>
      <c r="B22" s="10">
        <v>2025</v>
      </c>
      <c r="C22" s="10" t="s">
        <v>195</v>
      </c>
      <c r="D22" s="23" t="s">
        <v>220</v>
      </c>
      <c r="E22" s="10" t="s">
        <v>198</v>
      </c>
    </row>
    <row r="23" spans="1:5" x14ac:dyDescent="0.2">
      <c r="A23" s="10" t="s">
        <v>226</v>
      </c>
      <c r="B23" s="10">
        <v>2021</v>
      </c>
      <c r="C23" s="10" t="s">
        <v>192</v>
      </c>
      <c r="D23" s="23" t="s">
        <v>210</v>
      </c>
      <c r="E23" s="10" t="s">
        <v>205</v>
      </c>
    </row>
    <row r="24" spans="1:5" x14ac:dyDescent="0.2">
      <c r="A24" s="10" t="s">
        <v>227</v>
      </c>
      <c r="B24" s="10">
        <v>2023</v>
      </c>
      <c r="C24" s="10" t="s">
        <v>223</v>
      </c>
      <c r="D24" s="23" t="s">
        <v>201</v>
      </c>
      <c r="E24" s="10" t="s">
        <v>220</v>
      </c>
    </row>
    <row r="25" spans="1:5" x14ac:dyDescent="0.2">
      <c r="A25" s="10" t="s">
        <v>228</v>
      </c>
      <c r="B25" s="10">
        <v>2022</v>
      </c>
      <c r="C25" s="10" t="s">
        <v>192</v>
      </c>
      <c r="D25" s="23" t="s">
        <v>205</v>
      </c>
      <c r="E25" s="10" t="s">
        <v>210</v>
      </c>
    </row>
    <row r="26" spans="1:5" x14ac:dyDescent="0.2">
      <c r="A26" s="10" t="s">
        <v>229</v>
      </c>
      <c r="B26" s="10">
        <v>2024</v>
      </c>
      <c r="C26" s="10" t="s">
        <v>192</v>
      </c>
      <c r="D26" s="23" t="s">
        <v>205</v>
      </c>
      <c r="E26" s="10" t="s">
        <v>201</v>
      </c>
    </row>
    <row r="27" spans="1:5" x14ac:dyDescent="0.2">
      <c r="A27" s="10" t="s">
        <v>230</v>
      </c>
      <c r="B27" s="10">
        <v>2022</v>
      </c>
      <c r="C27" s="10" t="s">
        <v>214</v>
      </c>
      <c r="D27" s="23" t="s">
        <v>220</v>
      </c>
      <c r="E27" s="10" t="s">
        <v>201</v>
      </c>
    </row>
    <row r="28" spans="1:5" x14ac:dyDescent="0.2">
      <c r="A28" s="10" t="s">
        <v>231</v>
      </c>
      <c r="B28" s="10">
        <v>2023</v>
      </c>
      <c r="C28" s="10" t="s">
        <v>197</v>
      </c>
      <c r="D28" s="23" t="s">
        <v>205</v>
      </c>
      <c r="E28" s="10" t="s">
        <v>193</v>
      </c>
    </row>
    <row r="29" spans="1:5" x14ac:dyDescent="0.2">
      <c r="A29" s="10" t="s">
        <v>232</v>
      </c>
      <c r="B29" s="10">
        <v>2025</v>
      </c>
      <c r="C29" s="10" t="s">
        <v>223</v>
      </c>
      <c r="D29" s="23" t="s">
        <v>210</v>
      </c>
      <c r="E29" s="10" t="s">
        <v>215</v>
      </c>
    </row>
    <row r="30" spans="1:5" x14ac:dyDescent="0.2">
      <c r="A30" s="10" t="s">
        <v>233</v>
      </c>
      <c r="B30" s="10">
        <v>2024</v>
      </c>
      <c r="C30" s="10" t="s">
        <v>195</v>
      </c>
      <c r="D30" s="23" t="s">
        <v>205</v>
      </c>
      <c r="E30" s="10" t="s">
        <v>198</v>
      </c>
    </row>
    <row r="31" spans="1:5" x14ac:dyDescent="0.2">
      <c r="A31" s="10" t="s">
        <v>234</v>
      </c>
      <c r="B31" s="10">
        <v>2025</v>
      </c>
      <c r="C31" s="10" t="s">
        <v>214</v>
      </c>
      <c r="D31" s="23" t="s">
        <v>203</v>
      </c>
      <c r="E31" s="10" t="s">
        <v>210</v>
      </c>
    </row>
    <row r="32" spans="1:5" x14ac:dyDescent="0.2">
      <c r="A32" s="10" t="s">
        <v>235</v>
      </c>
      <c r="B32" s="10">
        <v>2022</v>
      </c>
      <c r="C32" s="10" t="s">
        <v>223</v>
      </c>
      <c r="D32" s="23" t="s">
        <v>203</v>
      </c>
      <c r="E32" s="10" t="s">
        <v>210</v>
      </c>
    </row>
    <row r="33" spans="1:5" x14ac:dyDescent="0.2">
      <c r="A33" s="10" t="s">
        <v>236</v>
      </c>
      <c r="B33" s="10">
        <v>2023</v>
      </c>
      <c r="C33" s="10" t="s">
        <v>209</v>
      </c>
      <c r="D33" s="23" t="s">
        <v>205</v>
      </c>
      <c r="E33" s="10" t="s">
        <v>193</v>
      </c>
    </row>
    <row r="34" spans="1:5" x14ac:dyDescent="0.2">
      <c r="A34" s="10" t="s">
        <v>237</v>
      </c>
      <c r="B34" s="10">
        <v>2025</v>
      </c>
      <c r="C34" s="10" t="s">
        <v>223</v>
      </c>
      <c r="D34" s="23" t="s">
        <v>215</v>
      </c>
      <c r="E34" s="10" t="s">
        <v>220</v>
      </c>
    </row>
    <row r="35" spans="1:5" x14ac:dyDescent="0.2">
      <c r="A35" s="10" t="s">
        <v>238</v>
      </c>
      <c r="B35" s="10">
        <v>2021</v>
      </c>
      <c r="C35" s="10" t="s">
        <v>209</v>
      </c>
      <c r="D35" s="23" t="s">
        <v>210</v>
      </c>
      <c r="E35" s="10" t="s">
        <v>193</v>
      </c>
    </row>
    <row r="36" spans="1:5" x14ac:dyDescent="0.2">
      <c r="A36" s="10" t="s">
        <v>239</v>
      </c>
      <c r="B36" s="10">
        <v>2021</v>
      </c>
      <c r="C36" s="10" t="s">
        <v>209</v>
      </c>
      <c r="D36" s="23" t="s">
        <v>193</v>
      </c>
      <c r="E36" s="10" t="s">
        <v>205</v>
      </c>
    </row>
    <row r="37" spans="1:5" x14ac:dyDescent="0.2">
      <c r="A37" s="10" t="s">
        <v>240</v>
      </c>
      <c r="B37" s="10">
        <v>2021</v>
      </c>
      <c r="C37" s="10" t="s">
        <v>223</v>
      </c>
      <c r="D37" s="23" t="s">
        <v>205</v>
      </c>
      <c r="E37" s="10" t="s">
        <v>215</v>
      </c>
    </row>
    <row r="38" spans="1:5" x14ac:dyDescent="0.2">
      <c r="A38" s="10" t="s">
        <v>241</v>
      </c>
      <c r="B38" s="10">
        <v>2024</v>
      </c>
      <c r="C38" s="10" t="s">
        <v>223</v>
      </c>
      <c r="D38" s="23" t="s">
        <v>193</v>
      </c>
      <c r="E38" s="10" t="s">
        <v>201</v>
      </c>
    </row>
    <row r="39" spans="1:5" x14ac:dyDescent="0.2">
      <c r="A39" s="10" t="s">
        <v>242</v>
      </c>
      <c r="B39" s="10">
        <v>2025</v>
      </c>
      <c r="C39" s="10" t="s">
        <v>214</v>
      </c>
      <c r="D39" s="23" t="s">
        <v>198</v>
      </c>
      <c r="E39" s="10" t="s">
        <v>193</v>
      </c>
    </row>
    <row r="40" spans="1:5" x14ac:dyDescent="0.2">
      <c r="A40" s="10" t="s">
        <v>243</v>
      </c>
      <c r="B40" s="10">
        <v>2024</v>
      </c>
      <c r="C40" s="10" t="s">
        <v>197</v>
      </c>
      <c r="D40" s="23" t="s">
        <v>198</v>
      </c>
      <c r="E40" s="10" t="s">
        <v>193</v>
      </c>
    </row>
    <row r="41" spans="1:5" x14ac:dyDescent="0.2">
      <c r="A41" s="10" t="s">
        <v>244</v>
      </c>
      <c r="B41" s="10">
        <v>2021</v>
      </c>
      <c r="C41" s="10" t="s">
        <v>192</v>
      </c>
      <c r="D41" s="23" t="s">
        <v>220</v>
      </c>
      <c r="E41" s="10" t="s">
        <v>203</v>
      </c>
    </row>
    <row r="42" spans="1:5" x14ac:dyDescent="0.2">
      <c r="A42" s="10" t="s">
        <v>245</v>
      </c>
      <c r="B42" s="10">
        <v>2023</v>
      </c>
      <c r="C42" s="10" t="s">
        <v>197</v>
      </c>
      <c r="D42" s="23" t="s">
        <v>198</v>
      </c>
      <c r="E42" s="10" t="s">
        <v>203</v>
      </c>
    </row>
    <row r="43" spans="1:5" x14ac:dyDescent="0.2">
      <c r="A43" s="10" t="s">
        <v>246</v>
      </c>
      <c r="B43" s="10">
        <v>2024</v>
      </c>
      <c r="C43" s="10" t="s">
        <v>209</v>
      </c>
      <c r="D43" s="23" t="s">
        <v>198</v>
      </c>
      <c r="E43" s="10" t="s">
        <v>210</v>
      </c>
    </row>
    <row r="44" spans="1:5" x14ac:dyDescent="0.2">
      <c r="A44" s="10" t="s">
        <v>247</v>
      </c>
      <c r="B44" s="10">
        <v>2021</v>
      </c>
      <c r="C44" s="10" t="s">
        <v>197</v>
      </c>
      <c r="D44" s="23" t="s">
        <v>210</v>
      </c>
      <c r="E44" s="10" t="s">
        <v>205</v>
      </c>
    </row>
    <row r="45" spans="1:5" x14ac:dyDescent="0.2">
      <c r="A45" s="10" t="s">
        <v>248</v>
      </c>
      <c r="B45" s="10">
        <v>2021</v>
      </c>
      <c r="C45" s="10" t="s">
        <v>223</v>
      </c>
      <c r="D45" s="23" t="s">
        <v>203</v>
      </c>
      <c r="E45" s="10" t="s">
        <v>193</v>
      </c>
    </row>
    <row r="46" spans="1:5" x14ac:dyDescent="0.2">
      <c r="A46" s="10" t="s">
        <v>249</v>
      </c>
      <c r="B46" s="10">
        <v>2022</v>
      </c>
      <c r="C46" s="10" t="s">
        <v>214</v>
      </c>
      <c r="D46" s="23" t="s">
        <v>215</v>
      </c>
      <c r="E46" s="10" t="s">
        <v>201</v>
      </c>
    </row>
    <row r="47" spans="1:5" x14ac:dyDescent="0.2">
      <c r="A47" s="10" t="s">
        <v>250</v>
      </c>
      <c r="B47" s="10">
        <v>2024</v>
      </c>
      <c r="C47" s="10" t="s">
        <v>207</v>
      </c>
      <c r="D47" s="23" t="s">
        <v>201</v>
      </c>
      <c r="E47" s="10" t="s">
        <v>215</v>
      </c>
    </row>
    <row r="48" spans="1:5" x14ac:dyDescent="0.2">
      <c r="A48" s="10" t="s">
        <v>251</v>
      </c>
      <c r="B48" s="10">
        <v>2024</v>
      </c>
      <c r="C48" s="10" t="s">
        <v>223</v>
      </c>
      <c r="D48" s="23" t="s">
        <v>193</v>
      </c>
      <c r="E48" s="10" t="s">
        <v>210</v>
      </c>
    </row>
    <row r="49" spans="1:5" x14ac:dyDescent="0.2">
      <c r="A49" s="10" t="s">
        <v>252</v>
      </c>
      <c r="B49" s="10">
        <v>2024</v>
      </c>
      <c r="C49" s="10" t="s">
        <v>192</v>
      </c>
      <c r="D49" s="23" t="s">
        <v>201</v>
      </c>
      <c r="E49" s="10" t="s">
        <v>220</v>
      </c>
    </row>
    <row r="50" spans="1:5" x14ac:dyDescent="0.2">
      <c r="A50" s="10" t="s">
        <v>253</v>
      </c>
      <c r="B50" s="10">
        <v>2025</v>
      </c>
      <c r="C50" s="10" t="s">
        <v>209</v>
      </c>
      <c r="D50" s="23" t="s">
        <v>201</v>
      </c>
      <c r="E50" s="10" t="s">
        <v>210</v>
      </c>
    </row>
    <row r="51" spans="1:5" x14ac:dyDescent="0.2">
      <c r="A51" s="10" t="s">
        <v>254</v>
      </c>
      <c r="B51" s="10">
        <v>2022</v>
      </c>
      <c r="C51" s="10" t="s">
        <v>207</v>
      </c>
      <c r="D51" s="23" t="s">
        <v>198</v>
      </c>
      <c r="E51" s="10" t="s">
        <v>203</v>
      </c>
    </row>
    <row r="52" spans="1:5" x14ac:dyDescent="0.2">
      <c r="A52" s="10" t="s">
        <v>255</v>
      </c>
      <c r="B52" s="10">
        <v>2024</v>
      </c>
      <c r="C52" s="10" t="s">
        <v>214</v>
      </c>
      <c r="D52" s="23" t="s">
        <v>201</v>
      </c>
      <c r="E52" s="10" t="s">
        <v>193</v>
      </c>
    </row>
    <row r="53" spans="1:5" x14ac:dyDescent="0.2">
      <c r="A53" s="10" t="s">
        <v>256</v>
      </c>
      <c r="B53" s="10">
        <v>2024</v>
      </c>
      <c r="C53" s="10" t="s">
        <v>209</v>
      </c>
      <c r="D53" s="23" t="s">
        <v>220</v>
      </c>
      <c r="E53" s="10" t="s">
        <v>201</v>
      </c>
    </row>
    <row r="54" spans="1:5" x14ac:dyDescent="0.2">
      <c r="A54" s="10" t="s">
        <v>257</v>
      </c>
      <c r="B54" s="10">
        <v>2024</v>
      </c>
      <c r="C54" s="10" t="s">
        <v>209</v>
      </c>
      <c r="D54" s="23" t="s">
        <v>220</v>
      </c>
      <c r="E54" s="10" t="s">
        <v>203</v>
      </c>
    </row>
    <row r="55" spans="1:5" x14ac:dyDescent="0.2">
      <c r="A55" s="10" t="s">
        <v>258</v>
      </c>
      <c r="B55" s="10">
        <v>2023</v>
      </c>
      <c r="C55" s="10" t="s">
        <v>214</v>
      </c>
      <c r="D55" s="23" t="s">
        <v>193</v>
      </c>
      <c r="E55" s="10" t="s">
        <v>215</v>
      </c>
    </row>
    <row r="56" spans="1:5" x14ac:dyDescent="0.2">
      <c r="A56" s="10" t="s">
        <v>259</v>
      </c>
      <c r="B56" s="10">
        <v>2024</v>
      </c>
      <c r="C56" s="10" t="s">
        <v>214</v>
      </c>
      <c r="D56" s="23" t="s">
        <v>220</v>
      </c>
      <c r="E56" s="10" t="s">
        <v>201</v>
      </c>
    </row>
    <row r="57" spans="1:5" x14ac:dyDescent="0.2">
      <c r="A57" s="10" t="s">
        <v>260</v>
      </c>
      <c r="B57" s="10">
        <v>2022</v>
      </c>
      <c r="C57" s="10" t="s">
        <v>200</v>
      </c>
      <c r="D57" s="23" t="s">
        <v>201</v>
      </c>
      <c r="E57" s="10" t="s">
        <v>193</v>
      </c>
    </row>
    <row r="58" spans="1:5" x14ac:dyDescent="0.2">
      <c r="A58" s="10" t="s">
        <v>261</v>
      </c>
      <c r="B58" s="10">
        <v>2021</v>
      </c>
      <c r="C58" s="10" t="s">
        <v>209</v>
      </c>
      <c r="D58" s="23" t="s">
        <v>198</v>
      </c>
      <c r="E58" s="10" t="s">
        <v>205</v>
      </c>
    </row>
    <row r="59" spans="1:5" x14ac:dyDescent="0.2">
      <c r="A59" s="10" t="s">
        <v>262</v>
      </c>
      <c r="B59" s="10">
        <v>2021</v>
      </c>
      <c r="C59" s="10" t="s">
        <v>209</v>
      </c>
      <c r="D59" s="23" t="s">
        <v>201</v>
      </c>
      <c r="E59" s="10" t="s">
        <v>198</v>
      </c>
    </row>
    <row r="60" spans="1:5" x14ac:dyDescent="0.2">
      <c r="A60" s="10" t="s">
        <v>263</v>
      </c>
      <c r="B60" s="10">
        <v>2025</v>
      </c>
      <c r="C60" s="10" t="s">
        <v>207</v>
      </c>
      <c r="D60" s="23" t="s">
        <v>205</v>
      </c>
      <c r="E60" s="10" t="s">
        <v>220</v>
      </c>
    </row>
    <row r="61" spans="1:5" x14ac:dyDescent="0.2">
      <c r="A61" s="10" t="s">
        <v>264</v>
      </c>
      <c r="B61" s="10">
        <v>2025</v>
      </c>
      <c r="C61" s="10" t="s">
        <v>192</v>
      </c>
      <c r="D61" s="23" t="s">
        <v>193</v>
      </c>
      <c r="E61" s="10" t="s">
        <v>201</v>
      </c>
    </row>
    <row r="62" spans="1:5" x14ac:dyDescent="0.2">
      <c r="A62" s="10" t="s">
        <v>265</v>
      </c>
      <c r="B62" s="10">
        <v>2021</v>
      </c>
      <c r="C62" s="10" t="s">
        <v>192</v>
      </c>
      <c r="D62" s="23" t="s">
        <v>198</v>
      </c>
      <c r="E62" s="10" t="s">
        <v>193</v>
      </c>
    </row>
    <row r="63" spans="1:5" x14ac:dyDescent="0.2">
      <c r="A63" s="10" t="s">
        <v>266</v>
      </c>
      <c r="B63" s="10">
        <v>2024</v>
      </c>
      <c r="C63" s="10" t="s">
        <v>192</v>
      </c>
      <c r="D63" s="23" t="s">
        <v>220</v>
      </c>
      <c r="E63" s="10" t="s">
        <v>193</v>
      </c>
    </row>
    <row r="64" spans="1:5" x14ac:dyDescent="0.2">
      <c r="A64" s="10" t="s">
        <v>267</v>
      </c>
      <c r="B64" s="10">
        <v>2025</v>
      </c>
      <c r="C64" s="10" t="s">
        <v>209</v>
      </c>
      <c r="D64" s="23" t="s">
        <v>203</v>
      </c>
      <c r="E64" s="10" t="s">
        <v>210</v>
      </c>
    </row>
    <row r="65" spans="1:5" x14ac:dyDescent="0.2">
      <c r="A65" s="10" t="s">
        <v>268</v>
      </c>
      <c r="B65" s="10">
        <v>2024</v>
      </c>
      <c r="C65" s="10" t="s">
        <v>195</v>
      </c>
      <c r="D65" s="23" t="s">
        <v>193</v>
      </c>
      <c r="E65" s="10" t="s">
        <v>215</v>
      </c>
    </row>
    <row r="66" spans="1:5" x14ac:dyDescent="0.2">
      <c r="A66" s="10" t="s">
        <v>269</v>
      </c>
      <c r="B66" s="10">
        <v>2022</v>
      </c>
      <c r="C66" s="10" t="s">
        <v>195</v>
      </c>
      <c r="D66" s="23" t="s">
        <v>205</v>
      </c>
      <c r="E66" s="10" t="s">
        <v>193</v>
      </c>
    </row>
    <row r="67" spans="1:5" x14ac:dyDescent="0.2">
      <c r="A67" s="10" t="s">
        <v>270</v>
      </c>
      <c r="B67" s="10">
        <v>2023</v>
      </c>
      <c r="C67" s="10" t="s">
        <v>197</v>
      </c>
      <c r="D67" s="23" t="s">
        <v>220</v>
      </c>
      <c r="E67" s="10" t="s">
        <v>201</v>
      </c>
    </row>
    <row r="68" spans="1:5" x14ac:dyDescent="0.2">
      <c r="A68" s="10" t="s">
        <v>271</v>
      </c>
      <c r="B68" s="10">
        <v>2023</v>
      </c>
      <c r="C68" s="10" t="s">
        <v>214</v>
      </c>
      <c r="D68" s="23" t="s">
        <v>193</v>
      </c>
      <c r="E68" s="10" t="s">
        <v>205</v>
      </c>
    </row>
    <row r="69" spans="1:5" x14ac:dyDescent="0.2">
      <c r="A69" s="10" t="s">
        <v>272</v>
      </c>
      <c r="B69" s="10">
        <v>2021</v>
      </c>
      <c r="C69" s="10" t="s">
        <v>209</v>
      </c>
      <c r="D69" s="23" t="s">
        <v>220</v>
      </c>
      <c r="E69" s="10" t="s">
        <v>198</v>
      </c>
    </row>
    <row r="70" spans="1:5" x14ac:dyDescent="0.2">
      <c r="A70" s="10" t="s">
        <v>273</v>
      </c>
      <c r="B70" s="10">
        <v>2025</v>
      </c>
      <c r="C70" s="10" t="s">
        <v>192</v>
      </c>
      <c r="D70" s="23" t="s">
        <v>205</v>
      </c>
      <c r="E70" s="10" t="s">
        <v>210</v>
      </c>
    </row>
    <row r="71" spans="1:5" x14ac:dyDescent="0.2">
      <c r="A71" s="10" t="s">
        <v>274</v>
      </c>
      <c r="B71" s="10">
        <v>2025</v>
      </c>
      <c r="C71" s="10" t="s">
        <v>223</v>
      </c>
      <c r="D71" s="23" t="s">
        <v>201</v>
      </c>
      <c r="E71" s="10" t="s">
        <v>215</v>
      </c>
    </row>
    <row r="72" spans="1:5" x14ac:dyDescent="0.2">
      <c r="A72" s="10" t="s">
        <v>275</v>
      </c>
      <c r="B72" s="10">
        <v>2022</v>
      </c>
      <c r="C72" s="10" t="s">
        <v>195</v>
      </c>
      <c r="D72" s="23" t="s">
        <v>198</v>
      </c>
      <c r="E72" s="10" t="s">
        <v>210</v>
      </c>
    </row>
    <row r="73" spans="1:5" x14ac:dyDescent="0.2">
      <c r="A73" s="10" t="s">
        <v>276</v>
      </c>
      <c r="B73" s="10">
        <v>2022</v>
      </c>
      <c r="C73" s="10" t="s">
        <v>195</v>
      </c>
      <c r="D73" s="23" t="s">
        <v>203</v>
      </c>
      <c r="E73" s="10" t="s">
        <v>215</v>
      </c>
    </row>
    <row r="74" spans="1:5" x14ac:dyDescent="0.2">
      <c r="A74" s="10" t="s">
        <v>277</v>
      </c>
      <c r="B74" s="10">
        <v>2022</v>
      </c>
      <c r="C74" s="10" t="s">
        <v>214</v>
      </c>
      <c r="D74" s="23" t="s">
        <v>205</v>
      </c>
      <c r="E74" s="10" t="s">
        <v>215</v>
      </c>
    </row>
    <row r="75" spans="1:5" x14ac:dyDescent="0.2">
      <c r="A75" s="10" t="s">
        <v>278</v>
      </c>
      <c r="B75" s="10">
        <v>2025</v>
      </c>
      <c r="C75" s="10" t="s">
        <v>209</v>
      </c>
      <c r="D75" s="23" t="s">
        <v>198</v>
      </c>
      <c r="E75" s="10" t="s">
        <v>215</v>
      </c>
    </row>
    <row r="76" spans="1:5" x14ac:dyDescent="0.2">
      <c r="A76" s="10" t="s">
        <v>279</v>
      </c>
      <c r="B76" s="10">
        <v>2021</v>
      </c>
      <c r="C76" s="10" t="s">
        <v>207</v>
      </c>
      <c r="D76" s="23" t="s">
        <v>201</v>
      </c>
      <c r="E76" s="10" t="s">
        <v>215</v>
      </c>
    </row>
    <row r="77" spans="1:5" x14ac:dyDescent="0.2">
      <c r="A77" s="10" t="s">
        <v>280</v>
      </c>
      <c r="B77" s="10">
        <v>2021</v>
      </c>
      <c r="C77" s="10" t="s">
        <v>192</v>
      </c>
      <c r="D77" s="23" t="s">
        <v>205</v>
      </c>
      <c r="E77" s="10" t="s">
        <v>201</v>
      </c>
    </row>
    <row r="78" spans="1:5" x14ac:dyDescent="0.2">
      <c r="A78" s="10" t="s">
        <v>281</v>
      </c>
      <c r="B78" s="10">
        <v>2023</v>
      </c>
      <c r="C78" s="10" t="s">
        <v>200</v>
      </c>
      <c r="D78" s="23" t="s">
        <v>210</v>
      </c>
      <c r="E78" s="10" t="s">
        <v>193</v>
      </c>
    </row>
    <row r="79" spans="1:5" x14ac:dyDescent="0.2">
      <c r="A79" s="10" t="s">
        <v>282</v>
      </c>
      <c r="B79" s="10">
        <v>2023</v>
      </c>
      <c r="C79" s="10" t="s">
        <v>223</v>
      </c>
      <c r="D79" s="23" t="s">
        <v>203</v>
      </c>
      <c r="E79" s="10" t="s">
        <v>215</v>
      </c>
    </row>
    <row r="80" spans="1:5" x14ac:dyDescent="0.2">
      <c r="A80" s="10" t="s">
        <v>283</v>
      </c>
      <c r="B80" s="10">
        <v>2025</v>
      </c>
      <c r="C80" s="10" t="s">
        <v>214</v>
      </c>
      <c r="D80" s="23" t="s">
        <v>220</v>
      </c>
      <c r="E80" s="10" t="s">
        <v>215</v>
      </c>
    </row>
    <row r="81" spans="1:5" x14ac:dyDescent="0.2">
      <c r="A81" s="10" t="s">
        <v>284</v>
      </c>
      <c r="B81" s="10">
        <v>2021</v>
      </c>
      <c r="C81" s="10" t="s">
        <v>192</v>
      </c>
      <c r="D81" s="23" t="s">
        <v>220</v>
      </c>
      <c r="E81" s="10" t="s">
        <v>203</v>
      </c>
    </row>
    <row r="82" spans="1:5" x14ac:dyDescent="0.2">
      <c r="A82" s="10" t="s">
        <v>285</v>
      </c>
      <c r="B82" s="10">
        <v>2023</v>
      </c>
      <c r="C82" s="10" t="s">
        <v>209</v>
      </c>
      <c r="D82" s="23" t="s">
        <v>203</v>
      </c>
      <c r="E82" s="10" t="s">
        <v>220</v>
      </c>
    </row>
    <row r="83" spans="1:5" x14ac:dyDescent="0.2">
      <c r="A83" s="10" t="s">
        <v>286</v>
      </c>
      <c r="B83" s="10">
        <v>2023</v>
      </c>
      <c r="C83" s="10" t="s">
        <v>207</v>
      </c>
      <c r="D83" s="23" t="s">
        <v>210</v>
      </c>
      <c r="E83" s="10" t="s">
        <v>215</v>
      </c>
    </row>
    <row r="84" spans="1:5" x14ac:dyDescent="0.2">
      <c r="A84" s="10" t="s">
        <v>287</v>
      </c>
      <c r="B84" s="10">
        <v>2022</v>
      </c>
      <c r="C84" s="10" t="s">
        <v>214</v>
      </c>
      <c r="D84" s="23" t="s">
        <v>198</v>
      </c>
      <c r="E84" s="10" t="s">
        <v>203</v>
      </c>
    </row>
    <row r="85" spans="1:5" x14ac:dyDescent="0.2">
      <c r="A85" s="10" t="s">
        <v>288</v>
      </c>
      <c r="B85" s="10">
        <v>2025</v>
      </c>
      <c r="C85" s="10" t="s">
        <v>209</v>
      </c>
      <c r="D85" s="23" t="s">
        <v>193</v>
      </c>
      <c r="E85" s="10" t="s">
        <v>210</v>
      </c>
    </row>
    <row r="86" spans="1:5" x14ac:dyDescent="0.2">
      <c r="A86" s="10" t="s">
        <v>289</v>
      </c>
      <c r="B86" s="10">
        <v>2021</v>
      </c>
      <c r="C86" s="10" t="s">
        <v>207</v>
      </c>
      <c r="D86" s="23" t="s">
        <v>210</v>
      </c>
      <c r="E86" s="10" t="s">
        <v>220</v>
      </c>
    </row>
    <row r="87" spans="1:5" x14ac:dyDescent="0.2">
      <c r="A87" s="10" t="s">
        <v>290</v>
      </c>
      <c r="B87" s="10">
        <v>2023</v>
      </c>
      <c r="C87" s="10" t="s">
        <v>207</v>
      </c>
      <c r="D87" s="23" t="s">
        <v>198</v>
      </c>
      <c r="E87" s="10" t="s">
        <v>203</v>
      </c>
    </row>
    <row r="88" spans="1:5" x14ac:dyDescent="0.2">
      <c r="A88" s="10" t="s">
        <v>291</v>
      </c>
      <c r="B88" s="10">
        <v>2022</v>
      </c>
      <c r="C88" s="10" t="s">
        <v>209</v>
      </c>
      <c r="D88" s="23" t="s">
        <v>210</v>
      </c>
      <c r="E88" s="10" t="s">
        <v>215</v>
      </c>
    </row>
    <row r="89" spans="1:5" x14ac:dyDescent="0.2">
      <c r="A89" s="10" t="s">
        <v>292</v>
      </c>
      <c r="B89" s="10">
        <v>2023</v>
      </c>
      <c r="C89" s="10" t="s">
        <v>209</v>
      </c>
      <c r="D89" s="23" t="s">
        <v>198</v>
      </c>
      <c r="E89" s="10" t="s">
        <v>205</v>
      </c>
    </row>
    <row r="90" spans="1:5" x14ac:dyDescent="0.2">
      <c r="A90" s="10" t="s">
        <v>293</v>
      </c>
      <c r="B90" s="10">
        <v>2022</v>
      </c>
      <c r="C90" s="10" t="s">
        <v>223</v>
      </c>
      <c r="D90" s="23" t="s">
        <v>220</v>
      </c>
      <c r="E90" s="10" t="s">
        <v>210</v>
      </c>
    </row>
    <row r="91" spans="1:5" x14ac:dyDescent="0.2">
      <c r="A91" s="10" t="s">
        <v>294</v>
      </c>
      <c r="B91" s="10">
        <v>2023</v>
      </c>
      <c r="C91" s="10" t="s">
        <v>197</v>
      </c>
      <c r="D91" s="23" t="s">
        <v>215</v>
      </c>
      <c r="E91" s="10" t="s">
        <v>201</v>
      </c>
    </row>
    <row r="92" spans="1:5" x14ac:dyDescent="0.2">
      <c r="A92" s="10" t="s">
        <v>295</v>
      </c>
      <c r="B92" s="10">
        <v>2022</v>
      </c>
      <c r="C92" s="10" t="s">
        <v>207</v>
      </c>
      <c r="D92" s="23" t="s">
        <v>193</v>
      </c>
      <c r="E92" s="10" t="s">
        <v>201</v>
      </c>
    </row>
    <row r="93" spans="1:5" x14ac:dyDescent="0.2">
      <c r="A93" s="10" t="s">
        <v>296</v>
      </c>
      <c r="B93" s="10">
        <v>2024</v>
      </c>
      <c r="C93" s="10" t="s">
        <v>209</v>
      </c>
      <c r="D93" s="23" t="s">
        <v>215</v>
      </c>
      <c r="E93" s="10" t="s">
        <v>201</v>
      </c>
    </row>
    <row r="94" spans="1:5" x14ac:dyDescent="0.2">
      <c r="A94" s="10" t="s">
        <v>297</v>
      </c>
      <c r="B94" s="10">
        <v>2023</v>
      </c>
      <c r="C94" s="10" t="s">
        <v>197</v>
      </c>
      <c r="D94" s="23" t="s">
        <v>203</v>
      </c>
      <c r="E94" s="10" t="s">
        <v>193</v>
      </c>
    </row>
    <row r="95" spans="1:5" x14ac:dyDescent="0.2">
      <c r="A95" s="10" t="s">
        <v>298</v>
      </c>
      <c r="B95" s="10">
        <v>2023</v>
      </c>
      <c r="C95" s="10" t="s">
        <v>207</v>
      </c>
      <c r="D95" s="23" t="s">
        <v>198</v>
      </c>
      <c r="E95" s="10" t="s">
        <v>210</v>
      </c>
    </row>
    <row r="96" spans="1:5" x14ac:dyDescent="0.2">
      <c r="A96" s="10" t="s">
        <v>299</v>
      </c>
      <c r="B96" s="10">
        <v>2024</v>
      </c>
      <c r="C96" s="10" t="s">
        <v>209</v>
      </c>
      <c r="D96" s="23" t="s">
        <v>201</v>
      </c>
      <c r="E96" s="10" t="s">
        <v>198</v>
      </c>
    </row>
    <row r="97" spans="1:5" x14ac:dyDescent="0.2">
      <c r="A97" s="10" t="s">
        <v>300</v>
      </c>
      <c r="B97" s="10">
        <v>2022</v>
      </c>
      <c r="C97" s="10" t="s">
        <v>223</v>
      </c>
      <c r="D97" s="23" t="s">
        <v>210</v>
      </c>
      <c r="E97" s="10" t="s">
        <v>198</v>
      </c>
    </row>
    <row r="98" spans="1:5" x14ac:dyDescent="0.2">
      <c r="A98" s="10" t="s">
        <v>301</v>
      </c>
      <c r="B98" s="10">
        <v>2023</v>
      </c>
      <c r="C98" s="10" t="s">
        <v>200</v>
      </c>
      <c r="D98" s="23" t="s">
        <v>201</v>
      </c>
      <c r="E98" s="10" t="s">
        <v>193</v>
      </c>
    </row>
    <row r="99" spans="1:5" x14ac:dyDescent="0.2">
      <c r="A99" s="10" t="s">
        <v>302</v>
      </c>
      <c r="B99" s="10">
        <v>2022</v>
      </c>
      <c r="C99" s="10" t="s">
        <v>209</v>
      </c>
      <c r="D99" s="23" t="s">
        <v>201</v>
      </c>
      <c r="E99" s="10" t="s">
        <v>193</v>
      </c>
    </row>
    <row r="100" spans="1:5" x14ac:dyDescent="0.2">
      <c r="A100" s="10" t="s">
        <v>303</v>
      </c>
      <c r="B100" s="10">
        <v>2024</v>
      </c>
      <c r="C100" s="10" t="s">
        <v>195</v>
      </c>
      <c r="D100" s="23" t="s">
        <v>210</v>
      </c>
      <c r="E100" s="10" t="s">
        <v>215</v>
      </c>
    </row>
    <row r="101" spans="1:5" x14ac:dyDescent="0.2">
      <c r="A101" s="10" t="s">
        <v>304</v>
      </c>
      <c r="B101" s="10">
        <v>2021</v>
      </c>
      <c r="C101" s="10" t="s">
        <v>200</v>
      </c>
      <c r="D101" s="23" t="s">
        <v>203</v>
      </c>
      <c r="E101" s="10" t="s">
        <v>205</v>
      </c>
    </row>
    <row r="102" spans="1:5" x14ac:dyDescent="0.2">
      <c r="A102" s="10" t="s">
        <v>305</v>
      </c>
      <c r="B102" s="10">
        <v>2025</v>
      </c>
      <c r="C102" s="10" t="s">
        <v>197</v>
      </c>
      <c r="D102" s="23" t="s">
        <v>201</v>
      </c>
      <c r="E102" s="10" t="s">
        <v>205</v>
      </c>
    </row>
    <row r="103" spans="1:5" x14ac:dyDescent="0.2">
      <c r="A103" s="10" t="s">
        <v>306</v>
      </c>
      <c r="B103" s="10">
        <v>2021</v>
      </c>
      <c r="C103" s="10" t="s">
        <v>192</v>
      </c>
      <c r="D103" s="23" t="s">
        <v>203</v>
      </c>
      <c r="E103" s="10" t="s">
        <v>215</v>
      </c>
    </row>
    <row r="104" spans="1:5" x14ac:dyDescent="0.2">
      <c r="A104" s="10" t="s">
        <v>307</v>
      </c>
      <c r="B104" s="10">
        <v>2022</v>
      </c>
      <c r="C104" s="10" t="s">
        <v>200</v>
      </c>
      <c r="D104" s="23" t="s">
        <v>203</v>
      </c>
      <c r="E104" s="10" t="s">
        <v>220</v>
      </c>
    </row>
    <row r="105" spans="1:5" x14ac:dyDescent="0.2">
      <c r="A105" s="10" t="s">
        <v>308</v>
      </c>
      <c r="B105" s="10">
        <v>2021</v>
      </c>
      <c r="C105" s="10" t="s">
        <v>197</v>
      </c>
      <c r="D105" s="23" t="s">
        <v>203</v>
      </c>
      <c r="E105" s="10" t="s">
        <v>205</v>
      </c>
    </row>
    <row r="106" spans="1:5" x14ac:dyDescent="0.2">
      <c r="A106" s="10" t="s">
        <v>309</v>
      </c>
      <c r="B106" s="10">
        <v>2023</v>
      </c>
      <c r="C106" s="10" t="s">
        <v>197</v>
      </c>
      <c r="D106" s="23" t="s">
        <v>220</v>
      </c>
      <c r="E106" s="10" t="s">
        <v>210</v>
      </c>
    </row>
    <row r="107" spans="1:5" x14ac:dyDescent="0.2">
      <c r="A107" s="10" t="s">
        <v>310</v>
      </c>
      <c r="B107" s="10">
        <v>2024</v>
      </c>
      <c r="C107" s="10" t="s">
        <v>223</v>
      </c>
      <c r="D107" s="23" t="s">
        <v>205</v>
      </c>
      <c r="E107" s="10" t="s">
        <v>215</v>
      </c>
    </row>
    <row r="108" spans="1:5" x14ac:dyDescent="0.2">
      <c r="A108" s="10" t="s">
        <v>311</v>
      </c>
      <c r="B108" s="10">
        <v>2021</v>
      </c>
      <c r="C108" s="10" t="s">
        <v>197</v>
      </c>
      <c r="D108" s="23" t="s">
        <v>203</v>
      </c>
      <c r="E108" s="10" t="s">
        <v>220</v>
      </c>
    </row>
    <row r="109" spans="1:5" x14ac:dyDescent="0.2">
      <c r="A109" s="10" t="s">
        <v>312</v>
      </c>
      <c r="B109" s="10">
        <v>2025</v>
      </c>
      <c r="C109" s="10" t="s">
        <v>223</v>
      </c>
      <c r="D109" s="23" t="s">
        <v>210</v>
      </c>
      <c r="E109" s="10" t="s">
        <v>205</v>
      </c>
    </row>
    <row r="110" spans="1:5" x14ac:dyDescent="0.2">
      <c r="A110" s="10" t="s">
        <v>313</v>
      </c>
      <c r="B110" s="10">
        <v>2024</v>
      </c>
      <c r="C110" s="10" t="s">
        <v>192</v>
      </c>
      <c r="D110" s="23" t="s">
        <v>215</v>
      </c>
      <c r="E110" s="10" t="s">
        <v>205</v>
      </c>
    </row>
    <row r="111" spans="1:5" x14ac:dyDescent="0.2">
      <c r="A111" s="10" t="s">
        <v>314</v>
      </c>
      <c r="B111" s="10">
        <v>2025</v>
      </c>
      <c r="C111" s="10" t="s">
        <v>195</v>
      </c>
      <c r="D111" s="23" t="s">
        <v>203</v>
      </c>
      <c r="E111" s="10" t="s">
        <v>210</v>
      </c>
    </row>
    <row r="112" spans="1:5" x14ac:dyDescent="0.2">
      <c r="A112" s="10" t="s">
        <v>315</v>
      </c>
      <c r="B112" s="10">
        <v>2023</v>
      </c>
      <c r="C112" s="10" t="s">
        <v>200</v>
      </c>
      <c r="D112" s="23" t="s">
        <v>210</v>
      </c>
      <c r="E112" s="10" t="s">
        <v>203</v>
      </c>
    </row>
    <row r="113" spans="1:5" x14ac:dyDescent="0.2">
      <c r="A113" s="10" t="s">
        <v>316</v>
      </c>
      <c r="B113" s="10">
        <v>2023</v>
      </c>
      <c r="C113" s="10" t="s">
        <v>197</v>
      </c>
      <c r="D113" s="23" t="s">
        <v>210</v>
      </c>
      <c r="E113" s="10" t="s">
        <v>215</v>
      </c>
    </row>
    <row r="114" spans="1:5" x14ac:dyDescent="0.2">
      <c r="A114" s="10" t="s">
        <v>317</v>
      </c>
      <c r="B114" s="10">
        <v>2025</v>
      </c>
      <c r="C114" s="10" t="s">
        <v>207</v>
      </c>
      <c r="D114" s="23" t="s">
        <v>215</v>
      </c>
      <c r="E114" s="10" t="s">
        <v>193</v>
      </c>
    </row>
    <row r="115" spans="1:5" x14ac:dyDescent="0.2">
      <c r="A115" s="10" t="s">
        <v>318</v>
      </c>
      <c r="B115" s="10">
        <v>2024</v>
      </c>
      <c r="C115" s="10" t="s">
        <v>197</v>
      </c>
      <c r="D115" s="23" t="s">
        <v>215</v>
      </c>
      <c r="E115" s="10" t="s">
        <v>201</v>
      </c>
    </row>
    <row r="116" spans="1:5" x14ac:dyDescent="0.2">
      <c r="A116" s="10" t="s">
        <v>319</v>
      </c>
      <c r="B116" s="10">
        <v>2025</v>
      </c>
      <c r="C116" s="10" t="s">
        <v>200</v>
      </c>
      <c r="D116" s="23" t="s">
        <v>201</v>
      </c>
      <c r="E116" s="10" t="s">
        <v>203</v>
      </c>
    </row>
    <row r="117" spans="1:5" x14ac:dyDescent="0.2">
      <c r="A117" s="10" t="s">
        <v>320</v>
      </c>
      <c r="B117" s="10">
        <v>2025</v>
      </c>
      <c r="C117" s="10" t="s">
        <v>209</v>
      </c>
      <c r="D117" s="23" t="s">
        <v>203</v>
      </c>
      <c r="E117" s="10" t="s">
        <v>215</v>
      </c>
    </row>
    <row r="118" spans="1:5" x14ac:dyDescent="0.2">
      <c r="A118" s="10" t="s">
        <v>321</v>
      </c>
      <c r="B118" s="10">
        <v>2023</v>
      </c>
      <c r="C118" s="10" t="s">
        <v>223</v>
      </c>
      <c r="D118" s="23" t="s">
        <v>205</v>
      </c>
      <c r="E118" s="10" t="s">
        <v>203</v>
      </c>
    </row>
    <row r="119" spans="1:5" x14ac:dyDescent="0.2">
      <c r="A119" s="10" t="s">
        <v>322</v>
      </c>
      <c r="B119" s="10">
        <v>2025</v>
      </c>
      <c r="C119" s="10" t="s">
        <v>195</v>
      </c>
      <c r="D119" s="23" t="s">
        <v>215</v>
      </c>
      <c r="E119" s="10" t="s">
        <v>198</v>
      </c>
    </row>
    <row r="120" spans="1:5" x14ac:dyDescent="0.2">
      <c r="A120" s="10" t="s">
        <v>323</v>
      </c>
      <c r="B120" s="10">
        <v>2024</v>
      </c>
      <c r="C120" s="10" t="s">
        <v>214</v>
      </c>
      <c r="D120" s="23" t="s">
        <v>210</v>
      </c>
      <c r="E120" s="10" t="s">
        <v>193</v>
      </c>
    </row>
    <row r="121" spans="1:5" x14ac:dyDescent="0.2">
      <c r="A121" s="10" t="s">
        <v>324</v>
      </c>
      <c r="B121" s="10">
        <v>2025</v>
      </c>
      <c r="C121" s="10" t="s">
        <v>214</v>
      </c>
      <c r="D121" s="23" t="s">
        <v>203</v>
      </c>
      <c r="E121" s="10" t="s">
        <v>201</v>
      </c>
    </row>
    <row r="122" spans="1:5" x14ac:dyDescent="0.2">
      <c r="A122" s="10" t="s">
        <v>325</v>
      </c>
      <c r="B122" s="10">
        <v>2021</v>
      </c>
      <c r="C122" s="10" t="s">
        <v>200</v>
      </c>
      <c r="D122" s="23" t="s">
        <v>201</v>
      </c>
      <c r="E122" s="10" t="s">
        <v>205</v>
      </c>
    </row>
    <row r="123" spans="1:5" x14ac:dyDescent="0.2">
      <c r="A123" s="10" t="s">
        <v>326</v>
      </c>
      <c r="B123" s="10">
        <v>2021</v>
      </c>
      <c r="C123" s="10" t="s">
        <v>223</v>
      </c>
      <c r="D123" s="23" t="s">
        <v>198</v>
      </c>
      <c r="E123" s="10" t="s">
        <v>215</v>
      </c>
    </row>
    <row r="124" spans="1:5" x14ac:dyDescent="0.2">
      <c r="A124" s="10" t="s">
        <v>327</v>
      </c>
      <c r="B124" s="10">
        <v>2022</v>
      </c>
      <c r="C124" s="10" t="s">
        <v>223</v>
      </c>
      <c r="D124" s="23" t="s">
        <v>198</v>
      </c>
      <c r="E124" s="10" t="s">
        <v>201</v>
      </c>
    </row>
    <row r="125" spans="1:5" x14ac:dyDescent="0.2">
      <c r="A125" s="10" t="s">
        <v>328</v>
      </c>
      <c r="B125" s="10">
        <v>2021</v>
      </c>
      <c r="C125" s="10" t="s">
        <v>209</v>
      </c>
      <c r="D125" s="23" t="s">
        <v>198</v>
      </c>
      <c r="E125" s="10" t="s">
        <v>193</v>
      </c>
    </row>
    <row r="126" spans="1:5" x14ac:dyDescent="0.2">
      <c r="A126" s="10" t="s">
        <v>329</v>
      </c>
      <c r="B126" s="10">
        <v>2024</v>
      </c>
      <c r="C126" s="10" t="s">
        <v>192</v>
      </c>
      <c r="D126" s="23" t="s">
        <v>220</v>
      </c>
      <c r="E126" s="10" t="s">
        <v>198</v>
      </c>
    </row>
    <row r="127" spans="1:5" x14ac:dyDescent="0.2">
      <c r="A127" s="10" t="s">
        <v>330</v>
      </c>
      <c r="B127" s="10">
        <v>2024</v>
      </c>
      <c r="C127" s="10" t="s">
        <v>223</v>
      </c>
      <c r="D127" s="23" t="s">
        <v>210</v>
      </c>
      <c r="E127" s="10" t="s">
        <v>203</v>
      </c>
    </row>
    <row r="128" spans="1:5" x14ac:dyDescent="0.2">
      <c r="A128" s="10" t="s">
        <v>331</v>
      </c>
      <c r="B128" s="10">
        <v>2024</v>
      </c>
      <c r="C128" s="10" t="s">
        <v>197</v>
      </c>
      <c r="D128" s="23" t="s">
        <v>198</v>
      </c>
      <c r="E128" s="10" t="s">
        <v>193</v>
      </c>
    </row>
    <row r="129" spans="1:5" x14ac:dyDescent="0.2">
      <c r="A129" s="10" t="s">
        <v>332</v>
      </c>
      <c r="B129" s="10">
        <v>2022</v>
      </c>
      <c r="C129" s="10" t="s">
        <v>209</v>
      </c>
      <c r="D129" s="23" t="s">
        <v>220</v>
      </c>
      <c r="E129" s="10" t="s">
        <v>210</v>
      </c>
    </row>
    <row r="130" spans="1:5" x14ac:dyDescent="0.2">
      <c r="A130" s="10" t="s">
        <v>333</v>
      </c>
      <c r="B130" s="10">
        <v>2024</v>
      </c>
      <c r="C130" s="10" t="s">
        <v>223</v>
      </c>
      <c r="D130" s="23" t="s">
        <v>198</v>
      </c>
      <c r="E130" s="10" t="s">
        <v>201</v>
      </c>
    </row>
    <row r="131" spans="1:5" x14ac:dyDescent="0.2">
      <c r="A131" s="10" t="s">
        <v>334</v>
      </c>
      <c r="B131" s="10">
        <v>2025</v>
      </c>
      <c r="C131" s="10" t="s">
        <v>214</v>
      </c>
      <c r="D131" s="23" t="s">
        <v>193</v>
      </c>
      <c r="E131" s="10" t="s">
        <v>220</v>
      </c>
    </row>
    <row r="132" spans="1:5" x14ac:dyDescent="0.2">
      <c r="A132" s="10" t="s">
        <v>335</v>
      </c>
      <c r="B132" s="10">
        <v>2025</v>
      </c>
      <c r="C132" s="10" t="s">
        <v>223</v>
      </c>
      <c r="D132" s="23" t="s">
        <v>215</v>
      </c>
      <c r="E132" s="10" t="s">
        <v>210</v>
      </c>
    </row>
    <row r="133" spans="1:5" x14ac:dyDescent="0.2">
      <c r="A133" s="10" t="s">
        <v>336</v>
      </c>
      <c r="B133" s="10">
        <v>2024</v>
      </c>
      <c r="C133" s="10" t="s">
        <v>207</v>
      </c>
      <c r="D133" s="23" t="s">
        <v>201</v>
      </c>
      <c r="E133" s="10" t="s">
        <v>198</v>
      </c>
    </row>
    <row r="134" spans="1:5" x14ac:dyDescent="0.2">
      <c r="A134" s="10" t="s">
        <v>337</v>
      </c>
      <c r="B134" s="10">
        <v>2025</v>
      </c>
      <c r="C134" s="10" t="s">
        <v>195</v>
      </c>
      <c r="D134" s="23" t="s">
        <v>220</v>
      </c>
      <c r="E134" s="10" t="s">
        <v>198</v>
      </c>
    </row>
    <row r="135" spans="1:5" x14ac:dyDescent="0.2">
      <c r="A135" s="10" t="s">
        <v>338</v>
      </c>
      <c r="B135" s="10">
        <v>2025</v>
      </c>
      <c r="C135" s="10" t="s">
        <v>197</v>
      </c>
      <c r="D135" s="23" t="s">
        <v>210</v>
      </c>
      <c r="E135" s="10" t="s">
        <v>198</v>
      </c>
    </row>
    <row r="136" spans="1:5" x14ac:dyDescent="0.2">
      <c r="A136" s="10" t="s">
        <v>339</v>
      </c>
      <c r="B136" s="10">
        <v>2022</v>
      </c>
      <c r="C136" s="10" t="s">
        <v>214</v>
      </c>
      <c r="D136" s="23" t="s">
        <v>215</v>
      </c>
      <c r="E136" s="10" t="s">
        <v>198</v>
      </c>
    </row>
    <row r="137" spans="1:5" x14ac:dyDescent="0.2">
      <c r="A137" s="10" t="s">
        <v>340</v>
      </c>
      <c r="B137" s="10">
        <v>2023</v>
      </c>
      <c r="C137" s="10" t="s">
        <v>223</v>
      </c>
      <c r="D137" s="23" t="s">
        <v>203</v>
      </c>
      <c r="E137" s="10" t="s">
        <v>215</v>
      </c>
    </row>
    <row r="138" spans="1:5" x14ac:dyDescent="0.2">
      <c r="A138" s="10" t="s">
        <v>341</v>
      </c>
      <c r="B138" s="10">
        <v>2025</v>
      </c>
      <c r="C138" s="10" t="s">
        <v>214</v>
      </c>
      <c r="D138" s="23" t="s">
        <v>201</v>
      </c>
      <c r="E138" s="10" t="s">
        <v>193</v>
      </c>
    </row>
    <row r="139" spans="1:5" x14ac:dyDescent="0.2">
      <c r="A139" s="10" t="s">
        <v>342</v>
      </c>
      <c r="B139" s="10">
        <v>2023</v>
      </c>
      <c r="C139" s="10" t="s">
        <v>214</v>
      </c>
      <c r="D139" s="23" t="s">
        <v>201</v>
      </c>
      <c r="E139" s="10" t="s">
        <v>210</v>
      </c>
    </row>
    <row r="140" spans="1:5" x14ac:dyDescent="0.2">
      <c r="A140" s="10" t="s">
        <v>343</v>
      </c>
      <c r="B140" s="10">
        <v>2023</v>
      </c>
      <c r="C140" s="10" t="s">
        <v>223</v>
      </c>
      <c r="D140" s="23" t="s">
        <v>203</v>
      </c>
      <c r="E140" s="10" t="s">
        <v>215</v>
      </c>
    </row>
    <row r="141" spans="1:5" x14ac:dyDescent="0.2">
      <c r="A141" s="10" t="s">
        <v>344</v>
      </c>
      <c r="B141" s="10">
        <v>2023</v>
      </c>
      <c r="C141" s="10" t="s">
        <v>195</v>
      </c>
      <c r="D141" s="23" t="s">
        <v>215</v>
      </c>
      <c r="E141" s="10" t="s">
        <v>210</v>
      </c>
    </row>
    <row r="142" spans="1:5" x14ac:dyDescent="0.2">
      <c r="A142" s="10" t="s">
        <v>345</v>
      </c>
      <c r="B142" s="10">
        <v>2022</v>
      </c>
      <c r="C142" s="10" t="s">
        <v>207</v>
      </c>
      <c r="D142" s="23" t="s">
        <v>215</v>
      </c>
      <c r="E142" s="10" t="s">
        <v>193</v>
      </c>
    </row>
    <row r="143" spans="1:5" x14ac:dyDescent="0.2">
      <c r="A143" s="10" t="s">
        <v>346</v>
      </c>
      <c r="B143" s="10">
        <v>2024</v>
      </c>
      <c r="C143" s="10" t="s">
        <v>207</v>
      </c>
      <c r="D143" s="23" t="s">
        <v>203</v>
      </c>
      <c r="E143" s="10" t="s">
        <v>193</v>
      </c>
    </row>
    <row r="144" spans="1:5" x14ac:dyDescent="0.2">
      <c r="A144" s="10" t="s">
        <v>347</v>
      </c>
      <c r="B144" s="10">
        <v>2021</v>
      </c>
      <c r="C144" s="10" t="s">
        <v>197</v>
      </c>
      <c r="D144" s="23" t="s">
        <v>193</v>
      </c>
      <c r="E144" s="10" t="s">
        <v>203</v>
      </c>
    </row>
    <row r="145" spans="1:5" x14ac:dyDescent="0.2">
      <c r="A145" s="10" t="s">
        <v>348</v>
      </c>
      <c r="B145" s="10">
        <v>2023</v>
      </c>
      <c r="C145" s="10" t="s">
        <v>214</v>
      </c>
      <c r="D145" s="23" t="s">
        <v>210</v>
      </c>
      <c r="E145" s="10" t="s">
        <v>203</v>
      </c>
    </row>
    <row r="146" spans="1:5" x14ac:dyDescent="0.2">
      <c r="A146" s="10" t="s">
        <v>349</v>
      </c>
      <c r="B146" s="10">
        <v>2021</v>
      </c>
      <c r="C146" s="10" t="s">
        <v>223</v>
      </c>
      <c r="D146" s="23" t="s">
        <v>201</v>
      </c>
      <c r="E146" s="10" t="s">
        <v>203</v>
      </c>
    </row>
    <row r="147" spans="1:5" x14ac:dyDescent="0.2">
      <c r="A147" s="10" t="s">
        <v>350</v>
      </c>
      <c r="B147" s="10">
        <v>2024</v>
      </c>
      <c r="C147" s="10" t="s">
        <v>209</v>
      </c>
      <c r="D147" s="23" t="s">
        <v>210</v>
      </c>
      <c r="E147" s="10" t="s">
        <v>203</v>
      </c>
    </row>
    <row r="148" spans="1:5" x14ac:dyDescent="0.2">
      <c r="A148" s="10" t="s">
        <v>351</v>
      </c>
      <c r="B148" s="10">
        <v>2024</v>
      </c>
      <c r="C148" s="10" t="s">
        <v>209</v>
      </c>
      <c r="D148" s="23" t="s">
        <v>210</v>
      </c>
      <c r="E148" s="10" t="s">
        <v>205</v>
      </c>
    </row>
    <row r="149" spans="1:5" x14ac:dyDescent="0.2">
      <c r="A149" s="10" t="s">
        <v>352</v>
      </c>
      <c r="B149" s="10">
        <v>2023</v>
      </c>
      <c r="C149" s="10" t="s">
        <v>197</v>
      </c>
      <c r="D149" s="23" t="s">
        <v>205</v>
      </c>
      <c r="E149" s="10" t="s">
        <v>203</v>
      </c>
    </row>
    <row r="150" spans="1:5" x14ac:dyDescent="0.2">
      <c r="A150" s="10" t="s">
        <v>353</v>
      </c>
      <c r="B150" s="10">
        <v>2025</v>
      </c>
      <c r="C150" s="10" t="s">
        <v>223</v>
      </c>
      <c r="D150" s="23" t="s">
        <v>215</v>
      </c>
      <c r="E150" s="10" t="s">
        <v>198</v>
      </c>
    </row>
    <row r="151" spans="1:5" x14ac:dyDescent="0.2">
      <c r="A151" s="10" t="s">
        <v>354</v>
      </c>
      <c r="B151" s="10">
        <v>2022</v>
      </c>
      <c r="C151" s="10" t="s">
        <v>200</v>
      </c>
      <c r="D151" s="23" t="s">
        <v>215</v>
      </c>
      <c r="E151" s="10" t="s">
        <v>203</v>
      </c>
    </row>
    <row r="152" spans="1:5" x14ac:dyDescent="0.2">
      <c r="A152" s="10" t="s">
        <v>355</v>
      </c>
      <c r="B152" s="10">
        <v>2024</v>
      </c>
      <c r="C152" s="10" t="s">
        <v>209</v>
      </c>
      <c r="D152" s="23" t="s">
        <v>201</v>
      </c>
      <c r="E152" s="10" t="s">
        <v>203</v>
      </c>
    </row>
    <row r="153" spans="1:5" x14ac:dyDescent="0.2">
      <c r="A153" s="10" t="s">
        <v>356</v>
      </c>
      <c r="B153" s="10">
        <v>2023</v>
      </c>
      <c r="C153" s="10" t="s">
        <v>197</v>
      </c>
      <c r="D153" s="23" t="s">
        <v>203</v>
      </c>
      <c r="E153" s="10" t="s">
        <v>201</v>
      </c>
    </row>
    <row r="154" spans="1:5" x14ac:dyDescent="0.2">
      <c r="A154" s="10" t="s">
        <v>357</v>
      </c>
      <c r="B154" s="10">
        <v>2024</v>
      </c>
      <c r="C154" s="10" t="s">
        <v>207</v>
      </c>
      <c r="D154" s="23" t="s">
        <v>205</v>
      </c>
      <c r="E154" s="10" t="s">
        <v>220</v>
      </c>
    </row>
    <row r="155" spans="1:5" x14ac:dyDescent="0.2">
      <c r="A155" s="10" t="s">
        <v>358</v>
      </c>
      <c r="B155" s="10">
        <v>2024</v>
      </c>
      <c r="C155" s="10" t="s">
        <v>209</v>
      </c>
      <c r="D155" s="23" t="s">
        <v>215</v>
      </c>
      <c r="E155" s="10" t="s">
        <v>210</v>
      </c>
    </row>
    <row r="156" spans="1:5" x14ac:dyDescent="0.2">
      <c r="A156" s="10" t="s">
        <v>359</v>
      </c>
      <c r="B156" s="10">
        <v>2024</v>
      </c>
      <c r="C156" s="10" t="s">
        <v>207</v>
      </c>
      <c r="D156" s="23" t="s">
        <v>215</v>
      </c>
      <c r="E156" s="10" t="s">
        <v>198</v>
      </c>
    </row>
    <row r="157" spans="1:5" x14ac:dyDescent="0.2">
      <c r="A157" s="10" t="s">
        <v>360</v>
      </c>
      <c r="B157" s="10">
        <v>2022</v>
      </c>
      <c r="C157" s="10" t="s">
        <v>209</v>
      </c>
      <c r="D157" s="23" t="s">
        <v>193</v>
      </c>
      <c r="E157" s="10" t="s">
        <v>215</v>
      </c>
    </row>
    <row r="158" spans="1:5" x14ac:dyDescent="0.2">
      <c r="A158" s="10" t="s">
        <v>361</v>
      </c>
      <c r="B158" s="10">
        <v>2024</v>
      </c>
      <c r="C158" s="10" t="s">
        <v>195</v>
      </c>
      <c r="D158" s="23" t="s">
        <v>201</v>
      </c>
      <c r="E158" s="10" t="s">
        <v>193</v>
      </c>
    </row>
    <row r="159" spans="1:5" x14ac:dyDescent="0.2">
      <c r="A159" s="10" t="s">
        <v>362</v>
      </c>
      <c r="B159" s="10">
        <v>2024</v>
      </c>
      <c r="C159" s="10" t="s">
        <v>195</v>
      </c>
      <c r="D159" s="23" t="s">
        <v>210</v>
      </c>
      <c r="E159" s="10" t="s">
        <v>205</v>
      </c>
    </row>
    <row r="160" spans="1:5" x14ac:dyDescent="0.2">
      <c r="A160" s="10" t="s">
        <v>363</v>
      </c>
      <c r="B160" s="10">
        <v>2024</v>
      </c>
      <c r="C160" s="10" t="s">
        <v>200</v>
      </c>
      <c r="D160" s="23" t="s">
        <v>210</v>
      </c>
      <c r="E160" s="10" t="s">
        <v>203</v>
      </c>
    </row>
    <row r="161" spans="1:5" x14ac:dyDescent="0.2">
      <c r="A161" s="10" t="s">
        <v>364</v>
      </c>
      <c r="B161" s="10">
        <v>2023</v>
      </c>
      <c r="C161" s="10" t="s">
        <v>192</v>
      </c>
      <c r="D161" s="23" t="s">
        <v>215</v>
      </c>
      <c r="E161" s="10" t="s">
        <v>198</v>
      </c>
    </row>
    <row r="162" spans="1:5" x14ac:dyDescent="0.2">
      <c r="A162" s="10" t="s">
        <v>365</v>
      </c>
      <c r="B162" s="10">
        <v>2021</v>
      </c>
      <c r="C162" s="10" t="s">
        <v>209</v>
      </c>
      <c r="D162" s="23" t="s">
        <v>193</v>
      </c>
      <c r="E162" s="10" t="s">
        <v>205</v>
      </c>
    </row>
    <row r="163" spans="1:5" x14ac:dyDescent="0.2">
      <c r="A163" s="10" t="s">
        <v>366</v>
      </c>
      <c r="B163" s="10">
        <v>2022</v>
      </c>
      <c r="C163" s="10" t="s">
        <v>192</v>
      </c>
      <c r="D163" s="23" t="s">
        <v>210</v>
      </c>
      <c r="E163" s="10" t="s">
        <v>220</v>
      </c>
    </row>
    <row r="164" spans="1:5" x14ac:dyDescent="0.2">
      <c r="A164" s="10" t="s">
        <v>367</v>
      </c>
      <c r="B164" s="10">
        <v>2021</v>
      </c>
      <c r="C164" s="10" t="s">
        <v>223</v>
      </c>
      <c r="D164" s="23" t="s">
        <v>198</v>
      </c>
      <c r="E164" s="10" t="s">
        <v>193</v>
      </c>
    </row>
    <row r="165" spans="1:5" x14ac:dyDescent="0.2">
      <c r="A165" s="10" t="s">
        <v>368</v>
      </c>
      <c r="B165" s="10">
        <v>2021</v>
      </c>
      <c r="C165" s="10" t="s">
        <v>207</v>
      </c>
      <c r="D165" s="23" t="s">
        <v>220</v>
      </c>
      <c r="E165" s="10" t="s">
        <v>193</v>
      </c>
    </row>
    <row r="166" spans="1:5" x14ac:dyDescent="0.2">
      <c r="A166" s="10" t="s">
        <v>369</v>
      </c>
      <c r="B166" s="10">
        <v>2022</v>
      </c>
      <c r="C166" s="10" t="s">
        <v>214</v>
      </c>
      <c r="D166" s="23" t="s">
        <v>198</v>
      </c>
      <c r="E166" s="10" t="s">
        <v>210</v>
      </c>
    </row>
    <row r="167" spans="1:5" x14ac:dyDescent="0.2">
      <c r="A167" s="10" t="s">
        <v>370</v>
      </c>
      <c r="B167" s="10">
        <v>2025</v>
      </c>
      <c r="C167" s="10" t="s">
        <v>223</v>
      </c>
      <c r="D167" s="23" t="s">
        <v>220</v>
      </c>
      <c r="E167" s="10" t="s">
        <v>198</v>
      </c>
    </row>
    <row r="168" spans="1:5" x14ac:dyDescent="0.2">
      <c r="A168" s="10" t="s">
        <v>371</v>
      </c>
      <c r="B168" s="10">
        <v>2023</v>
      </c>
      <c r="C168" s="10" t="s">
        <v>195</v>
      </c>
      <c r="D168" s="23" t="s">
        <v>210</v>
      </c>
      <c r="E168" s="10" t="s">
        <v>201</v>
      </c>
    </row>
    <row r="169" spans="1:5" x14ac:dyDescent="0.2">
      <c r="A169" s="10" t="s">
        <v>372</v>
      </c>
      <c r="B169" s="10">
        <v>2025</v>
      </c>
      <c r="C169" s="10" t="s">
        <v>192</v>
      </c>
      <c r="D169" s="23" t="s">
        <v>203</v>
      </c>
      <c r="E169" s="10" t="s">
        <v>201</v>
      </c>
    </row>
    <row r="170" spans="1:5" x14ac:dyDescent="0.2">
      <c r="A170" s="10" t="s">
        <v>373</v>
      </c>
      <c r="B170" s="10">
        <v>2023</v>
      </c>
      <c r="C170" s="10" t="s">
        <v>192</v>
      </c>
      <c r="D170" s="23" t="s">
        <v>201</v>
      </c>
      <c r="E170" s="10" t="s">
        <v>220</v>
      </c>
    </row>
    <row r="171" spans="1:5" x14ac:dyDescent="0.2">
      <c r="A171" s="10" t="s">
        <v>374</v>
      </c>
      <c r="B171" s="10">
        <v>2023</v>
      </c>
      <c r="C171" s="10" t="s">
        <v>197</v>
      </c>
      <c r="D171" s="23" t="s">
        <v>198</v>
      </c>
      <c r="E171" s="10" t="s">
        <v>203</v>
      </c>
    </row>
    <row r="172" spans="1:5" x14ac:dyDescent="0.2">
      <c r="A172" s="10" t="s">
        <v>375</v>
      </c>
      <c r="B172" s="10">
        <v>2022</v>
      </c>
      <c r="C172" s="10" t="s">
        <v>192</v>
      </c>
      <c r="D172" s="23" t="s">
        <v>203</v>
      </c>
      <c r="E172" s="10" t="s">
        <v>193</v>
      </c>
    </row>
    <row r="173" spans="1:5" x14ac:dyDescent="0.2">
      <c r="A173" s="10" t="s">
        <v>376</v>
      </c>
      <c r="B173" s="10">
        <v>2021</v>
      </c>
      <c r="C173" s="10" t="s">
        <v>200</v>
      </c>
      <c r="D173" s="23" t="s">
        <v>215</v>
      </c>
      <c r="E173" s="10" t="s">
        <v>210</v>
      </c>
    </row>
    <row r="174" spans="1:5" x14ac:dyDescent="0.2">
      <c r="A174" s="10" t="s">
        <v>377</v>
      </c>
      <c r="B174" s="10">
        <v>2025</v>
      </c>
      <c r="C174" s="10" t="s">
        <v>209</v>
      </c>
      <c r="D174" s="23" t="s">
        <v>215</v>
      </c>
      <c r="E174" s="10" t="s">
        <v>205</v>
      </c>
    </row>
    <row r="175" spans="1:5" x14ac:dyDescent="0.2">
      <c r="A175" s="10" t="s">
        <v>378</v>
      </c>
      <c r="B175" s="10">
        <v>2025</v>
      </c>
      <c r="C175" s="10" t="s">
        <v>197</v>
      </c>
      <c r="D175" s="23" t="s">
        <v>220</v>
      </c>
      <c r="E175" s="10" t="s">
        <v>205</v>
      </c>
    </row>
    <row r="176" spans="1:5" x14ac:dyDescent="0.2">
      <c r="A176" s="10" t="s">
        <v>379</v>
      </c>
      <c r="B176" s="10">
        <v>2021</v>
      </c>
      <c r="C176" s="10" t="s">
        <v>195</v>
      </c>
      <c r="D176" s="23" t="s">
        <v>215</v>
      </c>
      <c r="E176" s="10" t="s">
        <v>220</v>
      </c>
    </row>
    <row r="177" spans="1:5" x14ac:dyDescent="0.2">
      <c r="A177" s="10" t="s">
        <v>380</v>
      </c>
      <c r="B177" s="10">
        <v>2024</v>
      </c>
      <c r="C177" s="10" t="s">
        <v>214</v>
      </c>
      <c r="D177" s="23" t="s">
        <v>215</v>
      </c>
      <c r="E177" s="10" t="s">
        <v>210</v>
      </c>
    </row>
    <row r="178" spans="1:5" x14ac:dyDescent="0.2">
      <c r="A178" s="10" t="s">
        <v>381</v>
      </c>
      <c r="B178" s="10">
        <v>2024</v>
      </c>
      <c r="C178" s="10" t="s">
        <v>195</v>
      </c>
      <c r="D178" s="23" t="s">
        <v>215</v>
      </c>
      <c r="E178" s="10" t="s">
        <v>198</v>
      </c>
    </row>
    <row r="179" spans="1:5" x14ac:dyDescent="0.2">
      <c r="A179" s="10" t="s">
        <v>382</v>
      </c>
      <c r="B179" s="10">
        <v>2022</v>
      </c>
      <c r="C179" s="10" t="s">
        <v>197</v>
      </c>
      <c r="D179" s="23" t="s">
        <v>215</v>
      </c>
      <c r="E179" s="10" t="s">
        <v>201</v>
      </c>
    </row>
    <row r="180" spans="1:5" x14ac:dyDescent="0.2">
      <c r="A180" s="10" t="s">
        <v>383</v>
      </c>
      <c r="B180" s="10">
        <v>2025</v>
      </c>
      <c r="C180" s="10" t="s">
        <v>200</v>
      </c>
      <c r="D180" s="23" t="s">
        <v>215</v>
      </c>
      <c r="E180" s="10" t="s">
        <v>198</v>
      </c>
    </row>
    <row r="181" spans="1:5" x14ac:dyDescent="0.2">
      <c r="A181" s="10" t="s">
        <v>384</v>
      </c>
      <c r="B181" s="10">
        <v>2024</v>
      </c>
      <c r="C181" s="10" t="s">
        <v>197</v>
      </c>
      <c r="D181" s="23" t="s">
        <v>201</v>
      </c>
      <c r="E181" s="10" t="s">
        <v>215</v>
      </c>
    </row>
    <row r="182" spans="1:5" x14ac:dyDescent="0.2">
      <c r="A182" s="10" t="s">
        <v>385</v>
      </c>
      <c r="B182" s="10">
        <v>2023</v>
      </c>
      <c r="C182" s="10" t="s">
        <v>223</v>
      </c>
      <c r="D182" s="23" t="s">
        <v>205</v>
      </c>
      <c r="E182" s="10" t="s">
        <v>210</v>
      </c>
    </row>
    <row r="183" spans="1:5" x14ac:dyDescent="0.2">
      <c r="A183" s="10" t="s">
        <v>386</v>
      </c>
      <c r="B183" s="10">
        <v>2023</v>
      </c>
      <c r="C183" s="10" t="s">
        <v>214</v>
      </c>
      <c r="D183" s="23" t="s">
        <v>198</v>
      </c>
      <c r="E183" s="10" t="s">
        <v>193</v>
      </c>
    </row>
    <row r="184" spans="1:5" x14ac:dyDescent="0.2">
      <c r="A184" s="10" t="s">
        <v>387</v>
      </c>
      <c r="B184" s="10">
        <v>2024</v>
      </c>
      <c r="C184" s="10" t="s">
        <v>197</v>
      </c>
      <c r="D184" s="23" t="s">
        <v>220</v>
      </c>
      <c r="E184" s="10" t="s">
        <v>205</v>
      </c>
    </row>
    <row r="185" spans="1:5" x14ac:dyDescent="0.2">
      <c r="A185" s="10" t="s">
        <v>388</v>
      </c>
      <c r="B185" s="10">
        <v>2021</v>
      </c>
      <c r="C185" s="10" t="s">
        <v>214</v>
      </c>
      <c r="D185" s="23" t="s">
        <v>203</v>
      </c>
      <c r="E185" s="10" t="s">
        <v>205</v>
      </c>
    </row>
    <row r="186" spans="1:5" x14ac:dyDescent="0.2">
      <c r="A186" s="10" t="s">
        <v>389</v>
      </c>
      <c r="B186" s="10">
        <v>2022</v>
      </c>
      <c r="C186" s="10" t="s">
        <v>214</v>
      </c>
      <c r="D186" s="23" t="s">
        <v>203</v>
      </c>
      <c r="E186" s="10" t="s">
        <v>193</v>
      </c>
    </row>
    <row r="187" spans="1:5" x14ac:dyDescent="0.2">
      <c r="A187" s="10" t="s">
        <v>390</v>
      </c>
      <c r="B187" s="10">
        <v>2023</v>
      </c>
      <c r="C187" s="10" t="s">
        <v>200</v>
      </c>
      <c r="D187" s="23" t="s">
        <v>220</v>
      </c>
      <c r="E187" s="10" t="s">
        <v>205</v>
      </c>
    </row>
    <row r="188" spans="1:5" x14ac:dyDescent="0.2">
      <c r="A188" s="10" t="s">
        <v>391</v>
      </c>
      <c r="B188" s="10">
        <v>2023</v>
      </c>
      <c r="C188" s="10" t="s">
        <v>200</v>
      </c>
      <c r="D188" s="23" t="s">
        <v>203</v>
      </c>
      <c r="E188" s="10" t="s">
        <v>220</v>
      </c>
    </row>
    <row r="189" spans="1:5" x14ac:dyDescent="0.2">
      <c r="A189" s="10" t="s">
        <v>392</v>
      </c>
      <c r="B189" s="10">
        <v>2025</v>
      </c>
      <c r="C189" s="10" t="s">
        <v>223</v>
      </c>
      <c r="D189" s="23" t="s">
        <v>205</v>
      </c>
      <c r="E189" s="10" t="s">
        <v>210</v>
      </c>
    </row>
    <row r="190" spans="1:5" x14ac:dyDescent="0.2">
      <c r="A190" s="10" t="s">
        <v>393</v>
      </c>
      <c r="B190" s="10">
        <v>2022</v>
      </c>
      <c r="C190" s="10" t="s">
        <v>197</v>
      </c>
      <c r="D190" s="23" t="s">
        <v>203</v>
      </c>
      <c r="E190" s="10" t="s">
        <v>198</v>
      </c>
    </row>
    <row r="191" spans="1:5" x14ac:dyDescent="0.2">
      <c r="A191" s="10" t="s">
        <v>394</v>
      </c>
      <c r="B191" s="10">
        <v>2025</v>
      </c>
      <c r="C191" s="10" t="s">
        <v>223</v>
      </c>
      <c r="D191" s="23" t="s">
        <v>201</v>
      </c>
      <c r="E191" s="10" t="s">
        <v>198</v>
      </c>
    </row>
    <row r="192" spans="1:5" x14ac:dyDescent="0.2">
      <c r="A192" s="10" t="s">
        <v>395</v>
      </c>
      <c r="B192" s="10">
        <v>2024</v>
      </c>
      <c r="C192" s="10" t="s">
        <v>214</v>
      </c>
      <c r="D192" s="23" t="s">
        <v>198</v>
      </c>
      <c r="E192" s="10" t="s">
        <v>220</v>
      </c>
    </row>
    <row r="193" spans="1:5" x14ac:dyDescent="0.2">
      <c r="A193" s="10" t="s">
        <v>396</v>
      </c>
      <c r="B193" s="10">
        <v>2021</v>
      </c>
      <c r="C193" s="10" t="s">
        <v>200</v>
      </c>
      <c r="D193" s="23" t="s">
        <v>203</v>
      </c>
      <c r="E193" s="10" t="s">
        <v>193</v>
      </c>
    </row>
    <row r="194" spans="1:5" x14ac:dyDescent="0.2">
      <c r="A194" s="10" t="s">
        <v>397</v>
      </c>
      <c r="B194" s="10">
        <v>2024</v>
      </c>
      <c r="C194" s="10" t="s">
        <v>223</v>
      </c>
      <c r="D194" s="23" t="s">
        <v>201</v>
      </c>
      <c r="E194" s="10" t="s">
        <v>215</v>
      </c>
    </row>
    <row r="195" spans="1:5" x14ac:dyDescent="0.2">
      <c r="A195" s="10" t="s">
        <v>398</v>
      </c>
      <c r="B195" s="10">
        <v>2025</v>
      </c>
      <c r="C195" s="10" t="s">
        <v>195</v>
      </c>
      <c r="D195" s="23" t="s">
        <v>220</v>
      </c>
      <c r="E195" s="10" t="s">
        <v>198</v>
      </c>
    </row>
    <row r="196" spans="1:5" x14ac:dyDescent="0.2">
      <c r="A196" s="10" t="s">
        <v>399</v>
      </c>
      <c r="B196" s="10">
        <v>2025</v>
      </c>
      <c r="C196" s="10" t="s">
        <v>195</v>
      </c>
      <c r="D196" s="23" t="s">
        <v>201</v>
      </c>
      <c r="E196" s="10" t="s">
        <v>203</v>
      </c>
    </row>
    <row r="197" spans="1:5" x14ac:dyDescent="0.2">
      <c r="A197" s="10" t="s">
        <v>400</v>
      </c>
      <c r="B197" s="10">
        <v>2025</v>
      </c>
      <c r="C197" s="10" t="s">
        <v>195</v>
      </c>
      <c r="D197" s="23" t="s">
        <v>193</v>
      </c>
      <c r="E197" s="10" t="s">
        <v>205</v>
      </c>
    </row>
    <row r="198" spans="1:5" x14ac:dyDescent="0.2">
      <c r="A198" s="10" t="s">
        <v>401</v>
      </c>
      <c r="B198" s="10">
        <v>2024</v>
      </c>
      <c r="C198" s="10" t="s">
        <v>200</v>
      </c>
      <c r="D198" s="23" t="s">
        <v>210</v>
      </c>
      <c r="E198" s="10" t="s">
        <v>215</v>
      </c>
    </row>
    <row r="199" spans="1:5" x14ac:dyDescent="0.2">
      <c r="A199" s="10" t="s">
        <v>402</v>
      </c>
      <c r="B199" s="10">
        <v>2023</v>
      </c>
      <c r="C199" s="10" t="s">
        <v>223</v>
      </c>
      <c r="D199" s="23" t="s">
        <v>215</v>
      </c>
      <c r="E199" s="10" t="s">
        <v>210</v>
      </c>
    </row>
    <row r="200" spans="1:5" x14ac:dyDescent="0.2">
      <c r="A200" s="10" t="s">
        <v>403</v>
      </c>
      <c r="B200" s="10">
        <v>2022</v>
      </c>
      <c r="C200" s="10" t="s">
        <v>195</v>
      </c>
      <c r="D200" s="23" t="s">
        <v>220</v>
      </c>
      <c r="E200" s="10" t="s">
        <v>210</v>
      </c>
    </row>
    <row r="201" spans="1:5" x14ac:dyDescent="0.2">
      <c r="A201" s="10" t="s">
        <v>404</v>
      </c>
      <c r="B201" s="10">
        <v>2025</v>
      </c>
      <c r="C201" s="10" t="s">
        <v>207</v>
      </c>
      <c r="D201" s="23" t="s">
        <v>203</v>
      </c>
      <c r="E201" s="10" t="s">
        <v>193</v>
      </c>
    </row>
    <row r="202" spans="1:5" x14ac:dyDescent="0.2">
      <c r="A202" s="10" t="s">
        <v>405</v>
      </c>
      <c r="B202" s="10">
        <v>2022</v>
      </c>
      <c r="C202" s="10" t="s">
        <v>214</v>
      </c>
      <c r="D202" s="23" t="s">
        <v>203</v>
      </c>
      <c r="E202" s="10" t="s">
        <v>215</v>
      </c>
    </row>
    <row r="203" spans="1:5" x14ac:dyDescent="0.2">
      <c r="A203" s="10" t="s">
        <v>406</v>
      </c>
      <c r="B203" s="10">
        <v>2025</v>
      </c>
      <c r="C203" s="10" t="s">
        <v>200</v>
      </c>
      <c r="D203" s="23" t="s">
        <v>193</v>
      </c>
      <c r="E203" s="10" t="s">
        <v>210</v>
      </c>
    </row>
    <row r="204" spans="1:5" x14ac:dyDescent="0.2">
      <c r="A204" s="10" t="s">
        <v>407</v>
      </c>
      <c r="B204" s="10">
        <v>2022</v>
      </c>
      <c r="C204" s="10" t="s">
        <v>200</v>
      </c>
      <c r="D204" s="23" t="s">
        <v>205</v>
      </c>
      <c r="E204" s="10" t="s">
        <v>193</v>
      </c>
    </row>
    <row r="205" spans="1:5" x14ac:dyDescent="0.2">
      <c r="A205" s="10" t="s">
        <v>408</v>
      </c>
      <c r="B205" s="10">
        <v>2023</v>
      </c>
      <c r="C205" s="10" t="s">
        <v>207</v>
      </c>
      <c r="D205" s="23" t="s">
        <v>198</v>
      </c>
      <c r="E205" s="10" t="s">
        <v>215</v>
      </c>
    </row>
    <row r="206" spans="1:5" x14ac:dyDescent="0.2">
      <c r="A206" s="10" t="s">
        <v>409</v>
      </c>
      <c r="B206" s="10">
        <v>2021</v>
      </c>
      <c r="C206" s="10" t="s">
        <v>207</v>
      </c>
      <c r="D206" s="23" t="s">
        <v>210</v>
      </c>
      <c r="E206" s="10" t="s">
        <v>215</v>
      </c>
    </row>
    <row r="207" spans="1:5" x14ac:dyDescent="0.2">
      <c r="A207" s="10" t="s">
        <v>410</v>
      </c>
      <c r="B207" s="10">
        <v>2021</v>
      </c>
      <c r="C207" s="10" t="s">
        <v>209</v>
      </c>
      <c r="D207" s="23" t="s">
        <v>205</v>
      </c>
      <c r="E207" s="10" t="s">
        <v>215</v>
      </c>
    </row>
    <row r="208" spans="1:5" x14ac:dyDescent="0.2">
      <c r="A208" s="10" t="s">
        <v>411</v>
      </c>
      <c r="B208" s="10">
        <v>2022</v>
      </c>
      <c r="C208" s="10" t="s">
        <v>214</v>
      </c>
      <c r="D208" s="23" t="s">
        <v>220</v>
      </c>
      <c r="E208" s="10" t="s">
        <v>210</v>
      </c>
    </row>
    <row r="209" spans="1:5" x14ac:dyDescent="0.2">
      <c r="A209" s="10" t="s">
        <v>412</v>
      </c>
      <c r="B209" s="10">
        <v>2021</v>
      </c>
      <c r="C209" s="10" t="s">
        <v>200</v>
      </c>
      <c r="D209" s="23" t="s">
        <v>203</v>
      </c>
      <c r="E209" s="10" t="s">
        <v>198</v>
      </c>
    </row>
    <row r="210" spans="1:5" x14ac:dyDescent="0.2">
      <c r="A210" s="10" t="s">
        <v>413</v>
      </c>
      <c r="B210" s="10">
        <v>2024</v>
      </c>
      <c r="C210" s="10" t="s">
        <v>214</v>
      </c>
      <c r="D210" s="23" t="s">
        <v>203</v>
      </c>
      <c r="E210" s="10" t="s">
        <v>205</v>
      </c>
    </row>
    <row r="211" spans="1:5" x14ac:dyDescent="0.2">
      <c r="A211" s="10" t="s">
        <v>414</v>
      </c>
      <c r="B211" s="10">
        <v>2022</v>
      </c>
      <c r="C211" s="10" t="s">
        <v>209</v>
      </c>
      <c r="D211" s="23" t="s">
        <v>201</v>
      </c>
      <c r="E211" s="10" t="s">
        <v>215</v>
      </c>
    </row>
    <row r="212" spans="1:5" x14ac:dyDescent="0.2">
      <c r="A212" s="10" t="s">
        <v>415</v>
      </c>
      <c r="B212" s="10">
        <v>2024</v>
      </c>
      <c r="C212" s="10" t="s">
        <v>192</v>
      </c>
      <c r="D212" s="23" t="s">
        <v>198</v>
      </c>
      <c r="E212" s="10" t="s">
        <v>210</v>
      </c>
    </row>
    <row r="213" spans="1:5" x14ac:dyDescent="0.2">
      <c r="A213" s="10" t="s">
        <v>416</v>
      </c>
      <c r="B213" s="10">
        <v>2024</v>
      </c>
      <c r="C213" s="10" t="s">
        <v>214</v>
      </c>
      <c r="D213" s="23" t="s">
        <v>203</v>
      </c>
      <c r="E213" s="10" t="s">
        <v>210</v>
      </c>
    </row>
    <row r="214" spans="1:5" x14ac:dyDescent="0.2">
      <c r="A214" s="10" t="s">
        <v>417</v>
      </c>
      <c r="B214" s="10">
        <v>2025</v>
      </c>
      <c r="C214" s="10" t="s">
        <v>209</v>
      </c>
      <c r="D214" s="23" t="s">
        <v>205</v>
      </c>
      <c r="E214" s="10" t="s">
        <v>201</v>
      </c>
    </row>
    <row r="215" spans="1:5" x14ac:dyDescent="0.2">
      <c r="A215" s="10" t="s">
        <v>418</v>
      </c>
      <c r="B215" s="10">
        <v>2022</v>
      </c>
      <c r="C215" s="10" t="s">
        <v>200</v>
      </c>
      <c r="D215" s="23" t="s">
        <v>205</v>
      </c>
      <c r="E215" s="10" t="s">
        <v>210</v>
      </c>
    </row>
    <row r="216" spans="1:5" x14ac:dyDescent="0.2">
      <c r="A216" s="10" t="s">
        <v>419</v>
      </c>
      <c r="B216" s="10">
        <v>2022</v>
      </c>
      <c r="C216" s="10" t="s">
        <v>192</v>
      </c>
      <c r="D216" s="23" t="s">
        <v>210</v>
      </c>
      <c r="E216" s="10" t="s">
        <v>203</v>
      </c>
    </row>
    <row r="217" spans="1:5" x14ac:dyDescent="0.2">
      <c r="A217" s="10" t="s">
        <v>420</v>
      </c>
      <c r="B217" s="10">
        <v>2025</v>
      </c>
      <c r="C217" s="10" t="s">
        <v>223</v>
      </c>
      <c r="D217" s="23" t="s">
        <v>210</v>
      </c>
      <c r="E217" s="10" t="s">
        <v>203</v>
      </c>
    </row>
    <row r="218" spans="1:5" x14ac:dyDescent="0.2">
      <c r="A218" s="10" t="s">
        <v>421</v>
      </c>
      <c r="B218" s="10">
        <v>2024</v>
      </c>
      <c r="C218" s="10" t="s">
        <v>214</v>
      </c>
      <c r="D218" s="23" t="s">
        <v>201</v>
      </c>
      <c r="E218" s="10" t="s">
        <v>215</v>
      </c>
    </row>
    <row r="219" spans="1:5" x14ac:dyDescent="0.2">
      <c r="A219" s="10" t="s">
        <v>422</v>
      </c>
      <c r="B219" s="10">
        <v>2025</v>
      </c>
      <c r="C219" s="10" t="s">
        <v>197</v>
      </c>
      <c r="D219" s="23" t="s">
        <v>198</v>
      </c>
      <c r="E219" s="10" t="s">
        <v>215</v>
      </c>
    </row>
    <row r="220" spans="1:5" x14ac:dyDescent="0.2">
      <c r="A220" s="10" t="s">
        <v>423</v>
      </c>
      <c r="B220" s="10">
        <v>2025</v>
      </c>
      <c r="C220" s="10" t="s">
        <v>209</v>
      </c>
      <c r="D220" s="23" t="s">
        <v>201</v>
      </c>
      <c r="E220" s="10" t="s">
        <v>210</v>
      </c>
    </row>
    <row r="221" spans="1:5" x14ac:dyDescent="0.2">
      <c r="A221" s="10" t="s">
        <v>424</v>
      </c>
      <c r="B221" s="10">
        <v>2022</v>
      </c>
      <c r="C221" s="10" t="s">
        <v>223</v>
      </c>
      <c r="D221" s="23" t="s">
        <v>205</v>
      </c>
      <c r="E221" s="10" t="s">
        <v>215</v>
      </c>
    </row>
    <row r="222" spans="1:5" x14ac:dyDescent="0.2">
      <c r="A222" s="10" t="s">
        <v>425</v>
      </c>
      <c r="B222" s="10">
        <v>2021</v>
      </c>
      <c r="C222" s="10" t="s">
        <v>207</v>
      </c>
      <c r="D222" s="23" t="s">
        <v>198</v>
      </c>
      <c r="E222" s="10" t="s">
        <v>193</v>
      </c>
    </row>
    <row r="223" spans="1:5" x14ac:dyDescent="0.2">
      <c r="A223" s="10" t="s">
        <v>426</v>
      </c>
      <c r="B223" s="10">
        <v>2022</v>
      </c>
      <c r="C223" s="10" t="s">
        <v>192</v>
      </c>
      <c r="D223" s="23" t="s">
        <v>205</v>
      </c>
      <c r="E223" s="10" t="s">
        <v>201</v>
      </c>
    </row>
    <row r="224" spans="1:5" x14ac:dyDescent="0.2">
      <c r="A224" s="10" t="s">
        <v>427</v>
      </c>
      <c r="B224" s="10">
        <v>2021</v>
      </c>
      <c r="C224" s="10" t="s">
        <v>197</v>
      </c>
      <c r="D224" s="23" t="s">
        <v>220</v>
      </c>
      <c r="E224" s="10" t="s">
        <v>198</v>
      </c>
    </row>
    <row r="225" spans="1:5" x14ac:dyDescent="0.2">
      <c r="A225" s="10" t="s">
        <v>428</v>
      </c>
      <c r="B225" s="10">
        <v>2025</v>
      </c>
      <c r="C225" s="10" t="s">
        <v>214</v>
      </c>
      <c r="D225" s="23" t="s">
        <v>205</v>
      </c>
      <c r="E225" s="10" t="s">
        <v>215</v>
      </c>
    </row>
    <row r="226" spans="1:5" x14ac:dyDescent="0.2">
      <c r="A226" s="10" t="s">
        <v>429</v>
      </c>
      <c r="B226" s="10">
        <v>2021</v>
      </c>
      <c r="C226" s="10" t="s">
        <v>223</v>
      </c>
      <c r="D226" s="23" t="s">
        <v>201</v>
      </c>
      <c r="E226" s="10" t="s">
        <v>215</v>
      </c>
    </row>
    <row r="227" spans="1:5" x14ac:dyDescent="0.2">
      <c r="A227" s="10" t="s">
        <v>430</v>
      </c>
      <c r="B227" s="10">
        <v>2023</v>
      </c>
      <c r="C227" s="10" t="s">
        <v>214</v>
      </c>
      <c r="D227" s="23" t="s">
        <v>215</v>
      </c>
      <c r="E227" s="10" t="s">
        <v>210</v>
      </c>
    </row>
    <row r="228" spans="1:5" x14ac:dyDescent="0.2">
      <c r="A228" s="10" t="s">
        <v>431</v>
      </c>
      <c r="B228" s="10">
        <v>2022</v>
      </c>
      <c r="C228" s="10" t="s">
        <v>200</v>
      </c>
      <c r="D228" s="23" t="s">
        <v>220</v>
      </c>
      <c r="E228" s="10" t="s">
        <v>193</v>
      </c>
    </row>
    <row r="229" spans="1:5" x14ac:dyDescent="0.2">
      <c r="A229" s="10" t="s">
        <v>432</v>
      </c>
      <c r="B229" s="10">
        <v>2024</v>
      </c>
      <c r="C229" s="10" t="s">
        <v>192</v>
      </c>
      <c r="D229" s="23" t="s">
        <v>220</v>
      </c>
      <c r="E229" s="10" t="s">
        <v>193</v>
      </c>
    </row>
    <row r="230" spans="1:5" x14ac:dyDescent="0.2">
      <c r="A230" s="10" t="s">
        <v>433</v>
      </c>
      <c r="B230" s="10">
        <v>2022</v>
      </c>
      <c r="C230" s="10" t="s">
        <v>200</v>
      </c>
      <c r="D230" s="23" t="s">
        <v>193</v>
      </c>
      <c r="E230" s="10" t="s">
        <v>201</v>
      </c>
    </row>
    <row r="231" spans="1:5" x14ac:dyDescent="0.2">
      <c r="A231" s="10" t="s">
        <v>434</v>
      </c>
      <c r="B231" s="10">
        <v>2021</v>
      </c>
      <c r="C231" s="10" t="s">
        <v>209</v>
      </c>
      <c r="D231" s="23" t="s">
        <v>198</v>
      </c>
      <c r="E231" s="10" t="s">
        <v>201</v>
      </c>
    </row>
    <row r="232" spans="1:5" x14ac:dyDescent="0.2">
      <c r="A232" s="10" t="s">
        <v>435</v>
      </c>
      <c r="B232" s="10">
        <v>2023</v>
      </c>
      <c r="C232" s="10" t="s">
        <v>200</v>
      </c>
      <c r="D232" s="23" t="s">
        <v>203</v>
      </c>
      <c r="E232" s="10" t="s">
        <v>198</v>
      </c>
    </row>
    <row r="233" spans="1:5" x14ac:dyDescent="0.2">
      <c r="A233" s="10" t="s">
        <v>436</v>
      </c>
      <c r="B233" s="10">
        <v>2021</v>
      </c>
      <c r="C233" s="10" t="s">
        <v>214</v>
      </c>
      <c r="D233" s="23" t="s">
        <v>201</v>
      </c>
      <c r="E233" s="10" t="s">
        <v>215</v>
      </c>
    </row>
    <row r="234" spans="1:5" x14ac:dyDescent="0.2">
      <c r="A234" s="10" t="s">
        <v>437</v>
      </c>
      <c r="B234" s="10">
        <v>2024</v>
      </c>
      <c r="C234" s="10" t="s">
        <v>200</v>
      </c>
      <c r="D234" s="23" t="s">
        <v>210</v>
      </c>
      <c r="E234" s="10" t="s">
        <v>198</v>
      </c>
    </row>
    <row r="235" spans="1:5" x14ac:dyDescent="0.2">
      <c r="A235" s="10" t="s">
        <v>438</v>
      </c>
      <c r="B235" s="10">
        <v>2024</v>
      </c>
      <c r="C235" s="10" t="s">
        <v>192</v>
      </c>
      <c r="D235" s="23" t="s">
        <v>210</v>
      </c>
      <c r="E235" s="10" t="s">
        <v>220</v>
      </c>
    </row>
    <row r="236" spans="1:5" x14ac:dyDescent="0.2">
      <c r="A236" s="10" t="s">
        <v>439</v>
      </c>
      <c r="B236" s="10">
        <v>2024</v>
      </c>
      <c r="C236" s="10" t="s">
        <v>195</v>
      </c>
      <c r="D236" s="23" t="s">
        <v>210</v>
      </c>
      <c r="E236" s="10" t="s">
        <v>215</v>
      </c>
    </row>
    <row r="237" spans="1:5" x14ac:dyDescent="0.2">
      <c r="A237" s="10" t="s">
        <v>440</v>
      </c>
      <c r="B237" s="10">
        <v>2021</v>
      </c>
      <c r="C237" s="10" t="s">
        <v>192</v>
      </c>
      <c r="D237" s="23" t="s">
        <v>205</v>
      </c>
      <c r="E237" s="10" t="s">
        <v>193</v>
      </c>
    </row>
    <row r="238" spans="1:5" x14ac:dyDescent="0.2">
      <c r="A238" s="10" t="s">
        <v>441</v>
      </c>
      <c r="B238" s="10">
        <v>2025</v>
      </c>
      <c r="C238" s="10" t="s">
        <v>209</v>
      </c>
      <c r="D238" s="23" t="s">
        <v>220</v>
      </c>
      <c r="E238" s="10" t="s">
        <v>215</v>
      </c>
    </row>
    <row r="239" spans="1:5" x14ac:dyDescent="0.2">
      <c r="A239" s="10" t="s">
        <v>442</v>
      </c>
      <c r="B239" s="10">
        <v>2025</v>
      </c>
      <c r="C239" s="10" t="s">
        <v>209</v>
      </c>
      <c r="D239" s="23" t="s">
        <v>220</v>
      </c>
      <c r="E239" s="10" t="s">
        <v>201</v>
      </c>
    </row>
    <row r="240" spans="1:5" x14ac:dyDescent="0.2">
      <c r="A240" s="10" t="s">
        <v>443</v>
      </c>
      <c r="B240" s="10">
        <v>2024</v>
      </c>
      <c r="C240" s="10" t="s">
        <v>214</v>
      </c>
      <c r="D240" s="23" t="s">
        <v>203</v>
      </c>
      <c r="E240" s="10" t="s">
        <v>215</v>
      </c>
    </row>
    <row r="241" spans="1:5" x14ac:dyDescent="0.2">
      <c r="A241" s="10" t="s">
        <v>444</v>
      </c>
      <c r="B241" s="10">
        <v>2022</v>
      </c>
      <c r="C241" s="10" t="s">
        <v>197</v>
      </c>
      <c r="D241" s="23" t="s">
        <v>193</v>
      </c>
      <c r="E241" s="10" t="s">
        <v>198</v>
      </c>
    </row>
    <row r="242" spans="1:5" x14ac:dyDescent="0.2">
      <c r="A242" s="10" t="s">
        <v>445</v>
      </c>
      <c r="B242" s="10">
        <v>2021</v>
      </c>
      <c r="C242" s="10" t="s">
        <v>214</v>
      </c>
      <c r="D242" s="23" t="s">
        <v>198</v>
      </c>
      <c r="E242" s="10" t="s">
        <v>205</v>
      </c>
    </row>
    <row r="243" spans="1:5" x14ac:dyDescent="0.2">
      <c r="A243" s="10" t="s">
        <v>446</v>
      </c>
      <c r="B243" s="10">
        <v>2024</v>
      </c>
      <c r="C243" s="10" t="s">
        <v>195</v>
      </c>
      <c r="D243" s="23" t="s">
        <v>220</v>
      </c>
      <c r="E243" s="10" t="s">
        <v>205</v>
      </c>
    </row>
    <row r="244" spans="1:5" x14ac:dyDescent="0.2">
      <c r="A244" s="10" t="s">
        <v>447</v>
      </c>
      <c r="B244" s="10">
        <v>2021</v>
      </c>
      <c r="C244" s="10" t="s">
        <v>207</v>
      </c>
      <c r="D244" s="23" t="s">
        <v>198</v>
      </c>
      <c r="E244" s="10" t="s">
        <v>205</v>
      </c>
    </row>
    <row r="245" spans="1:5" x14ac:dyDescent="0.2">
      <c r="A245" s="10" t="s">
        <v>448</v>
      </c>
      <c r="B245" s="10">
        <v>2024</v>
      </c>
      <c r="C245" s="10" t="s">
        <v>214</v>
      </c>
      <c r="D245" s="23" t="s">
        <v>205</v>
      </c>
      <c r="E245" s="10" t="s">
        <v>215</v>
      </c>
    </row>
    <row r="246" spans="1:5" x14ac:dyDescent="0.2">
      <c r="A246" s="10" t="s">
        <v>449</v>
      </c>
      <c r="B246" s="10">
        <v>2024</v>
      </c>
      <c r="C246" s="10" t="s">
        <v>209</v>
      </c>
      <c r="D246" s="23" t="s">
        <v>203</v>
      </c>
      <c r="E246" s="10" t="s">
        <v>198</v>
      </c>
    </row>
    <row r="247" spans="1:5" x14ac:dyDescent="0.2">
      <c r="A247" s="10" t="s">
        <v>450</v>
      </c>
      <c r="B247" s="10">
        <v>2021</v>
      </c>
      <c r="C247" s="10" t="s">
        <v>195</v>
      </c>
      <c r="D247" s="23" t="s">
        <v>210</v>
      </c>
      <c r="E247" s="10" t="s">
        <v>215</v>
      </c>
    </row>
    <row r="248" spans="1:5" x14ac:dyDescent="0.2">
      <c r="A248" s="10" t="s">
        <v>451</v>
      </c>
      <c r="B248" s="10">
        <v>2023</v>
      </c>
      <c r="C248" s="10" t="s">
        <v>192</v>
      </c>
      <c r="D248" s="23" t="s">
        <v>210</v>
      </c>
      <c r="E248" s="10" t="s">
        <v>203</v>
      </c>
    </row>
    <row r="249" spans="1:5" x14ac:dyDescent="0.2">
      <c r="A249" s="10" t="s">
        <v>452</v>
      </c>
      <c r="B249" s="10">
        <v>2025</v>
      </c>
      <c r="C249" s="10" t="s">
        <v>209</v>
      </c>
      <c r="D249" s="23" t="s">
        <v>205</v>
      </c>
      <c r="E249" s="10" t="s">
        <v>198</v>
      </c>
    </row>
    <row r="250" spans="1:5" x14ac:dyDescent="0.2">
      <c r="A250" s="10" t="s">
        <v>453</v>
      </c>
      <c r="B250" s="10">
        <v>2024</v>
      </c>
      <c r="C250" s="10" t="s">
        <v>209</v>
      </c>
      <c r="D250" s="23" t="s">
        <v>215</v>
      </c>
      <c r="E250" s="10" t="s">
        <v>193</v>
      </c>
    </row>
    <row r="251" spans="1:5" x14ac:dyDescent="0.2">
      <c r="A251" s="10" t="s">
        <v>454</v>
      </c>
      <c r="B251" s="10">
        <v>2025</v>
      </c>
      <c r="C251" s="10" t="s">
        <v>195</v>
      </c>
      <c r="D251" s="23" t="s">
        <v>215</v>
      </c>
      <c r="E251" s="10" t="s">
        <v>198</v>
      </c>
    </row>
    <row r="252" spans="1:5" x14ac:dyDescent="0.2">
      <c r="A252" s="10" t="s">
        <v>455</v>
      </c>
      <c r="B252" s="10">
        <v>2024</v>
      </c>
      <c r="C252" s="10" t="s">
        <v>209</v>
      </c>
      <c r="D252" s="23" t="s">
        <v>210</v>
      </c>
      <c r="E252" s="10" t="s">
        <v>193</v>
      </c>
    </row>
    <row r="253" spans="1:5" x14ac:dyDescent="0.2">
      <c r="A253" s="10" t="s">
        <v>456</v>
      </c>
      <c r="B253" s="10">
        <v>2023</v>
      </c>
      <c r="C253" s="10" t="s">
        <v>207</v>
      </c>
      <c r="D253" s="23" t="s">
        <v>201</v>
      </c>
      <c r="E253" s="10" t="s">
        <v>215</v>
      </c>
    </row>
  </sheetData>
  <dataConsolidate/>
  <mergeCells count="1">
    <mergeCell ref="A1:E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80F55-42A5-9749-8C01-9C20C0BC9D31}">
  <dimension ref="A1:E11"/>
  <sheetViews>
    <sheetView workbookViewId="0">
      <selection activeCell="E20" sqref="E20"/>
    </sheetView>
  </sheetViews>
  <sheetFormatPr baseColWidth="10" defaultRowHeight="16" x14ac:dyDescent="0.2"/>
  <cols>
    <col min="1" max="1" width="24.5" bestFit="1" customWidth="1"/>
    <col min="2" max="2" width="8.1640625" bestFit="1" customWidth="1"/>
    <col min="3" max="4" width="8.1640625" customWidth="1"/>
    <col min="5" max="5" width="16.33203125" bestFit="1" customWidth="1"/>
  </cols>
  <sheetData>
    <row r="1" spans="1:5" x14ac:dyDescent="0.2">
      <c r="A1" s="21" t="s">
        <v>474</v>
      </c>
      <c r="B1" s="21"/>
      <c r="C1" s="21"/>
      <c r="D1" s="21"/>
      <c r="E1" s="21"/>
    </row>
    <row r="2" spans="1:5" x14ac:dyDescent="0.2">
      <c r="A2" s="21"/>
      <c r="B2" s="21"/>
      <c r="C2" s="21"/>
      <c r="D2" s="21"/>
      <c r="E2" s="21"/>
    </row>
    <row r="3" spans="1:5" ht="19" x14ac:dyDescent="0.2">
      <c r="A3" s="22" t="s">
        <v>464</v>
      </c>
      <c r="B3" s="22" t="s">
        <v>186</v>
      </c>
      <c r="C3" s="22" t="s">
        <v>476</v>
      </c>
      <c r="D3" s="22" t="s">
        <v>477</v>
      </c>
      <c r="E3" s="22" t="s">
        <v>473</v>
      </c>
    </row>
    <row r="4" spans="1:5" x14ac:dyDescent="0.2">
      <c r="A4" s="2" t="s">
        <v>220</v>
      </c>
      <c r="B4" s="2">
        <f>COUNTIF(auction_data[team],Teams!A4)</f>
        <v>11</v>
      </c>
      <c r="C4" s="2">
        <f>COUNTIF(matches[winner],Teams!A4)</f>
        <v>18</v>
      </c>
      <c r="D4" s="2">
        <f>COUNTIF(matches[Opponent],Teams!A4)</f>
        <v>35</v>
      </c>
      <c r="E4" s="2">
        <f>SUM(D4,C4)</f>
        <v>53</v>
      </c>
    </row>
    <row r="5" spans="1:5" x14ac:dyDescent="0.2">
      <c r="A5" s="2" t="s">
        <v>210</v>
      </c>
      <c r="B5" s="2">
        <f>COUNTIF(auction_data[team],Teams!A5)</f>
        <v>11</v>
      </c>
      <c r="C5" s="2">
        <f>COUNTIF(matches[winner],Teams!A5)</f>
        <v>36</v>
      </c>
      <c r="D5" s="2">
        <f>COUNTIF(matches[Opponent],Teams!A5)</f>
        <v>36</v>
      </c>
      <c r="E5" s="2">
        <f t="shared" ref="E5:E11" si="0">SUM(D5,C5)</f>
        <v>72</v>
      </c>
    </row>
    <row r="6" spans="1:5" x14ac:dyDescent="0.2">
      <c r="A6" s="2" t="s">
        <v>201</v>
      </c>
      <c r="B6" s="2">
        <f>COUNTIF(auction_data[team],Teams!A6)</f>
        <v>11</v>
      </c>
      <c r="C6" s="2">
        <f>COUNTIF(matches[winner],Teams!A6)</f>
        <v>27</v>
      </c>
      <c r="D6" s="2">
        <f>COUNTIF(matches[Opponent],Teams!A6)</f>
        <v>34</v>
      </c>
      <c r="E6" s="2">
        <f t="shared" si="0"/>
        <v>61</v>
      </c>
    </row>
    <row r="7" spans="1:5" x14ac:dyDescent="0.2">
      <c r="A7" s="2" t="s">
        <v>193</v>
      </c>
      <c r="B7" s="2">
        <f>COUNTIF(auction_data[team],Teams!A7)</f>
        <v>11</v>
      </c>
      <c r="C7" s="2">
        <f>COUNTIF(matches[winner],Teams!A7)</f>
        <v>39</v>
      </c>
      <c r="D7" s="2">
        <f>COUNTIF(matches[Opponent],Teams!A7)</f>
        <v>17</v>
      </c>
      <c r="E7" s="2">
        <f t="shared" si="0"/>
        <v>56</v>
      </c>
    </row>
    <row r="8" spans="1:5" x14ac:dyDescent="0.2">
      <c r="A8" s="2" t="s">
        <v>215</v>
      </c>
      <c r="B8" s="2">
        <f>COUNTIF(auction_data[team],Teams!A8)</f>
        <v>11</v>
      </c>
      <c r="C8" s="2">
        <f>COUNTIF(matches[winner],Teams!A8)</f>
        <v>44</v>
      </c>
      <c r="D8" s="2">
        <f>COUNTIF(matches[Opponent],Teams!A8)</f>
        <v>30</v>
      </c>
      <c r="E8" s="2">
        <f t="shared" si="0"/>
        <v>74</v>
      </c>
    </row>
    <row r="9" spans="1:5" x14ac:dyDescent="0.2">
      <c r="A9" s="2" t="s">
        <v>205</v>
      </c>
      <c r="B9" s="2">
        <f>COUNTIF(auction_data[team],Teams!A9)</f>
        <v>11</v>
      </c>
      <c r="C9" s="2">
        <f>COUNTIF(matches[winner],Teams!A9)</f>
        <v>27</v>
      </c>
      <c r="D9" s="2">
        <f>COUNTIF(matches[Opponent],Teams!A9)</f>
        <v>29</v>
      </c>
      <c r="E9" s="2">
        <f t="shared" si="0"/>
        <v>56</v>
      </c>
    </row>
    <row r="10" spans="1:5" x14ac:dyDescent="0.2">
      <c r="A10" s="2" t="s">
        <v>203</v>
      </c>
      <c r="B10" s="2">
        <f>COUNTIF(auction_data[team],Teams!A10)</f>
        <v>11</v>
      </c>
      <c r="C10" s="2">
        <f>COUNTIF(matches[winner],Teams!A10)</f>
        <v>28</v>
      </c>
      <c r="D10" s="2">
        <f>COUNTIF(matches[Opponent],Teams!A10)</f>
        <v>39</v>
      </c>
      <c r="E10" s="2">
        <f t="shared" si="0"/>
        <v>67</v>
      </c>
    </row>
    <row r="11" spans="1:5" x14ac:dyDescent="0.2">
      <c r="A11" s="2" t="s">
        <v>198</v>
      </c>
      <c r="B11" s="2">
        <f>COUNTIF(auction_data[team],Teams!A11)</f>
        <v>11</v>
      </c>
      <c r="C11" s="2">
        <f>COUNTIF(matches[winner],Teams!A11)</f>
        <v>31</v>
      </c>
      <c r="D11" s="2">
        <f>COUNTIF(matches[Opponent],Teams!A11)</f>
        <v>30</v>
      </c>
      <c r="E11" s="2">
        <f t="shared" si="0"/>
        <v>61</v>
      </c>
    </row>
  </sheetData>
  <mergeCells count="1">
    <mergeCell ref="A1:E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0CE0E-F0B6-0D46-853C-35CF87569A1D}">
  <dimension ref="A1:J78"/>
  <sheetViews>
    <sheetView workbookViewId="0">
      <selection activeCell="G62" sqref="G62"/>
    </sheetView>
  </sheetViews>
  <sheetFormatPr baseColWidth="10" defaultRowHeight="16" x14ac:dyDescent="0.2"/>
  <cols>
    <col min="1" max="1" width="15" bestFit="1" customWidth="1"/>
    <col min="2" max="2" width="18.5" bestFit="1" customWidth="1"/>
    <col min="3" max="3" width="24.5" bestFit="1" customWidth="1"/>
    <col min="4" max="4" width="21.83203125" bestFit="1" customWidth="1"/>
    <col min="5" max="5" width="10.33203125" bestFit="1" customWidth="1"/>
    <col min="6" max="6" width="10.83203125" bestFit="1" customWidth="1"/>
    <col min="7" max="7" width="16.33203125" bestFit="1" customWidth="1"/>
    <col min="8" max="8" width="16.33203125" customWidth="1"/>
    <col min="9" max="10" width="11" bestFit="1" customWidth="1"/>
  </cols>
  <sheetData>
    <row r="1" spans="1:10" x14ac:dyDescent="0.2">
      <c r="A1" s="15" t="s">
        <v>467</v>
      </c>
      <c r="B1" s="15"/>
      <c r="C1" s="15"/>
      <c r="D1" s="15"/>
      <c r="E1" s="15"/>
      <c r="F1" s="15"/>
      <c r="G1" s="15"/>
      <c r="H1" s="15"/>
      <c r="I1" s="15"/>
      <c r="J1" s="15"/>
    </row>
    <row r="2" spans="1:10" x14ac:dyDescent="0.2">
      <c r="A2" s="15"/>
      <c r="B2" s="15"/>
      <c r="C2" s="15"/>
      <c r="D2" s="15"/>
      <c r="E2" s="15"/>
      <c r="F2" s="15"/>
      <c r="G2" s="15"/>
      <c r="H2" s="15"/>
      <c r="I2" s="15"/>
      <c r="J2" s="15"/>
    </row>
    <row r="3" spans="1:10" ht="19" x14ac:dyDescent="0.2">
      <c r="A3" s="16" t="s">
        <v>0</v>
      </c>
      <c r="B3" s="18" t="s">
        <v>1</v>
      </c>
      <c r="C3" s="18" t="s">
        <v>464</v>
      </c>
      <c r="D3" s="18" t="s">
        <v>478</v>
      </c>
      <c r="E3" s="16" t="s">
        <v>457</v>
      </c>
      <c r="F3" s="16" t="s">
        <v>458</v>
      </c>
      <c r="G3" s="18" t="s">
        <v>470</v>
      </c>
      <c r="H3" s="18" t="s">
        <v>472</v>
      </c>
      <c r="I3" s="16" t="s">
        <v>459</v>
      </c>
      <c r="J3" s="16" t="s">
        <v>460</v>
      </c>
    </row>
    <row r="4" spans="1:10" x14ac:dyDescent="0.2">
      <c r="A4" s="2" t="s">
        <v>4</v>
      </c>
      <c r="B4" s="2" t="str">
        <f>VLOOKUP(batting_stats[[#This Row],[player_id]],'players '!A4:J91,2)</f>
        <v>Rohit Sharma</v>
      </c>
      <c r="C4" s="2" t="str">
        <f>VLOOKUP(batting_stats[[#This Row],[player_name]],auction_data[#All],2,0)</f>
        <v>Mumbai Indians</v>
      </c>
      <c r="D4" s="2">
        <f>VLOOKUP(batting_stats[[#This Row],[team]],Teams!$A$3:$E$11,5,0)</f>
        <v>53</v>
      </c>
      <c r="E4" s="2">
        <v>4389</v>
      </c>
      <c r="F4" s="2">
        <v>2997</v>
      </c>
      <c r="G4" s="19">
        <f>(batting_stats[[#This Row],[runs]])*100/(batting_stats[[#This Row],[balls]])</f>
        <v>146.44644644644646</v>
      </c>
      <c r="H4" s="19">
        <f>batting_stats[[#This Row],[runs]]/batting_stats[[#This Row],[matches_played]]</f>
        <v>82.811320754716988</v>
      </c>
      <c r="I4" s="2">
        <v>436</v>
      </c>
      <c r="J4" s="2">
        <v>135</v>
      </c>
    </row>
    <row r="5" spans="1:10" x14ac:dyDescent="0.2">
      <c r="A5" s="2" t="s">
        <v>8</v>
      </c>
      <c r="B5" s="2" t="str">
        <f>VLOOKUP(batting_stats[[#This Row],[player_id]],'players '!A5:J92,2)</f>
        <v>Suryakumar Yadav</v>
      </c>
      <c r="C5" s="2" t="str">
        <f>VLOOKUP(batting_stats[[#This Row],[player_name]],auction_data[#All],2,0)</f>
        <v>Mumbai Indians</v>
      </c>
      <c r="D5" s="2">
        <f>VLOOKUP(batting_stats[[#This Row],[team]],Teams!$A$3:$E$11,5,0)</f>
        <v>53</v>
      </c>
      <c r="E5" s="2">
        <v>5961</v>
      </c>
      <c r="F5" s="2">
        <v>4311</v>
      </c>
      <c r="G5" s="19">
        <f>(batting_stats[[#This Row],[runs]])*100/(batting_stats[[#This Row],[balls]])</f>
        <v>138.2741823242867</v>
      </c>
      <c r="H5" s="19">
        <f>batting_stats[[#This Row],[runs]]/batting_stats[[#This Row],[matches_played]]</f>
        <v>112.47169811320755</v>
      </c>
      <c r="I5" s="2">
        <v>533</v>
      </c>
      <c r="J5" s="2">
        <v>207</v>
      </c>
    </row>
    <row r="6" spans="1:10" x14ac:dyDescent="0.2">
      <c r="A6" s="2" t="s">
        <v>10</v>
      </c>
      <c r="B6" s="2" t="str">
        <f>VLOOKUP(batting_stats[[#This Row],[player_id]],'players '!A6:J93,2)</f>
        <v>Jasprit Bumrah</v>
      </c>
      <c r="C6" s="2" t="str">
        <f>VLOOKUP(batting_stats[[#This Row],[player_name]],auction_data[#All],2,0)</f>
        <v>Mumbai Indians</v>
      </c>
      <c r="D6" s="2">
        <f>VLOOKUP(batting_stats[[#This Row],[team]],Teams!$A$3:$E$11,5,0)</f>
        <v>53</v>
      </c>
      <c r="E6" s="2">
        <v>332</v>
      </c>
      <c r="F6" s="2">
        <v>295</v>
      </c>
      <c r="G6" s="19">
        <f>(batting_stats[[#This Row],[runs]])*100/(batting_stats[[#This Row],[balls]])</f>
        <v>112.54237288135593</v>
      </c>
      <c r="H6" s="19">
        <f>batting_stats[[#This Row],[runs]]/batting_stats[[#This Row],[matches_played]]</f>
        <v>6.2641509433962268</v>
      </c>
      <c r="I6" s="2">
        <v>23</v>
      </c>
      <c r="J6" s="2">
        <v>13</v>
      </c>
    </row>
    <row r="7" spans="1:10" x14ac:dyDescent="0.2">
      <c r="A7" s="2" t="s">
        <v>13</v>
      </c>
      <c r="B7" s="2" t="str">
        <f>VLOOKUP(batting_stats[[#This Row],[player_id]],'players '!A7:J94,2)</f>
        <v>Hardik Pandya</v>
      </c>
      <c r="C7" s="2" t="str">
        <f>VLOOKUP(batting_stats[[#This Row],[player_name]],auction_data[#All],2,0)</f>
        <v>Mumbai Indians</v>
      </c>
      <c r="D7" s="2">
        <f>VLOOKUP(batting_stats[[#This Row],[team]],Teams!$A$3:$E$11,5,0)</f>
        <v>53</v>
      </c>
      <c r="E7" s="2">
        <v>4580</v>
      </c>
      <c r="F7" s="2">
        <v>3086</v>
      </c>
      <c r="G7" s="19">
        <f>(batting_stats[[#This Row],[runs]])*100/(batting_stats[[#This Row],[balls]])</f>
        <v>148.41218405703177</v>
      </c>
      <c r="H7" s="19">
        <f>batting_stats[[#This Row],[runs]]/batting_stats[[#This Row],[matches_played]]</f>
        <v>86.415094339622641</v>
      </c>
      <c r="I7" s="2">
        <v>485</v>
      </c>
      <c r="J7" s="2">
        <v>158</v>
      </c>
    </row>
    <row r="8" spans="1:10" x14ac:dyDescent="0.2">
      <c r="A8" s="2" t="s">
        <v>16</v>
      </c>
      <c r="B8" s="2" t="str">
        <f>VLOOKUP(batting_stats[[#This Row],[player_id]],'players '!A8:J95,2)</f>
        <v>Ishan Kishan</v>
      </c>
      <c r="C8" s="2" t="str">
        <f>VLOOKUP(batting_stats[[#This Row],[player_name]],auction_data[#All],2,0)</f>
        <v>Mumbai Indians</v>
      </c>
      <c r="D8" s="2">
        <f>VLOOKUP(batting_stats[[#This Row],[team]],Teams!$A$3:$E$11,5,0)</f>
        <v>53</v>
      </c>
      <c r="E8" s="2">
        <v>4752</v>
      </c>
      <c r="F8" s="2">
        <v>3180</v>
      </c>
      <c r="G8" s="19">
        <f>(batting_stats[[#This Row],[runs]])*100/(batting_stats[[#This Row],[balls]])</f>
        <v>149.43396226415095</v>
      </c>
      <c r="H8" s="19">
        <f>batting_stats[[#This Row],[runs]]/batting_stats[[#This Row],[matches_played]]</f>
        <v>89.660377358490564</v>
      </c>
      <c r="I8" s="2">
        <v>426</v>
      </c>
      <c r="J8" s="2">
        <v>221</v>
      </c>
    </row>
    <row r="9" spans="1:10" x14ac:dyDescent="0.2">
      <c r="A9" s="2" t="s">
        <v>19</v>
      </c>
      <c r="B9" s="2" t="str">
        <f>VLOOKUP(batting_stats[[#This Row],[player_id]],'players '!A9:J96,2)</f>
        <v>Tilak Varma</v>
      </c>
      <c r="C9" s="2" t="str">
        <f>VLOOKUP(batting_stats[[#This Row],[player_name]],auction_data[#All],2,0)</f>
        <v>Mumbai Indians</v>
      </c>
      <c r="D9" s="2">
        <f>VLOOKUP(batting_stats[[#This Row],[team]],Teams!$A$3:$E$11,5,0)</f>
        <v>53</v>
      </c>
      <c r="E9" s="2">
        <v>3942</v>
      </c>
      <c r="F9" s="2">
        <v>3135</v>
      </c>
      <c r="G9" s="19">
        <f>(batting_stats[[#This Row],[runs]])*100/(batting_stats[[#This Row],[balls]])</f>
        <v>125.74162679425838</v>
      </c>
      <c r="H9" s="19">
        <f>batting_stats[[#This Row],[runs]]/batting_stats[[#This Row],[matches_played]]</f>
        <v>74.377358490566039</v>
      </c>
      <c r="I9" s="2">
        <v>409</v>
      </c>
      <c r="J9" s="2">
        <v>206</v>
      </c>
    </row>
    <row r="10" spans="1:10" x14ac:dyDescent="0.2">
      <c r="A10" s="2" t="s">
        <v>21</v>
      </c>
      <c r="B10" s="2" t="str">
        <f>VLOOKUP(batting_stats[[#This Row],[player_id]],'players '!A10:J97,2)</f>
        <v>Tim David</v>
      </c>
      <c r="C10" s="2" t="str">
        <f>VLOOKUP(batting_stats[[#This Row],[player_name]],auction_data[#All],2,0)</f>
        <v>Mumbai Indians</v>
      </c>
      <c r="D10" s="2">
        <f>VLOOKUP(batting_stats[[#This Row],[team]],Teams!$A$3:$E$11,5,0)</f>
        <v>53</v>
      </c>
      <c r="E10" s="2">
        <v>1918</v>
      </c>
      <c r="F10" s="2">
        <v>1314</v>
      </c>
      <c r="G10" s="19">
        <f>(batting_stats[[#This Row],[runs]])*100/(batting_stats[[#This Row],[balls]])</f>
        <v>145.96651445966515</v>
      </c>
      <c r="H10" s="19">
        <f>batting_stats[[#This Row],[runs]]/batting_stats[[#This Row],[matches_played]]</f>
        <v>36.188679245283019</v>
      </c>
      <c r="I10" s="2">
        <v>174</v>
      </c>
      <c r="J10" s="2">
        <v>102</v>
      </c>
    </row>
    <row r="11" spans="1:10" x14ac:dyDescent="0.2">
      <c r="A11" s="2" t="s">
        <v>26</v>
      </c>
      <c r="B11" s="2" t="str">
        <f>VLOOKUP(batting_stats[[#This Row],[player_id]],'players '!A11:J98,2)</f>
        <v>Piyush Chawla</v>
      </c>
      <c r="C11" s="2" t="str">
        <f>VLOOKUP(batting_stats[[#This Row],[player_name]],auction_data[#All],2,0)</f>
        <v>Mumbai Indians</v>
      </c>
      <c r="D11" s="2">
        <f>VLOOKUP(batting_stats[[#This Row],[team]],Teams!$A$3:$E$11,5,0)</f>
        <v>53</v>
      </c>
      <c r="E11" s="2">
        <v>350</v>
      </c>
      <c r="F11" s="2">
        <v>298</v>
      </c>
      <c r="G11" s="19">
        <f>(batting_stats[[#This Row],[runs]])*100/(batting_stats[[#This Row],[balls]])</f>
        <v>117.4496644295302</v>
      </c>
      <c r="H11" s="19">
        <f>batting_stats[[#This Row],[runs]]/batting_stats[[#This Row],[matches_played]]</f>
        <v>6.6037735849056602</v>
      </c>
      <c r="I11" s="2">
        <v>24</v>
      </c>
      <c r="J11" s="2">
        <v>14</v>
      </c>
    </row>
    <row r="12" spans="1:10" x14ac:dyDescent="0.2">
      <c r="A12" s="2" t="s">
        <v>30</v>
      </c>
      <c r="B12" s="2" t="str">
        <f>VLOOKUP(batting_stats[[#This Row],[player_id]],'players '!A12:J99,2)</f>
        <v>Naman Dhir</v>
      </c>
      <c r="C12" s="2" t="str">
        <f>VLOOKUP(batting_stats[[#This Row],[player_name]],auction_data[#All],2,0)</f>
        <v>Mumbai Indians</v>
      </c>
      <c r="D12" s="2">
        <f>VLOOKUP(batting_stats[[#This Row],[team]],Teams!$A$3:$E$11,5,0)</f>
        <v>53</v>
      </c>
      <c r="E12" s="2">
        <v>4530</v>
      </c>
      <c r="F12" s="2">
        <v>3061</v>
      </c>
      <c r="G12" s="19">
        <f>(batting_stats[[#This Row],[runs]])*100/(batting_stats[[#This Row],[balls]])</f>
        <v>147.9908526625286</v>
      </c>
      <c r="H12" s="19">
        <f>batting_stats[[#This Row],[runs]]/batting_stats[[#This Row],[matches_played]]</f>
        <v>85.471698113207552</v>
      </c>
      <c r="I12" s="2">
        <v>519</v>
      </c>
      <c r="J12" s="2">
        <v>269</v>
      </c>
    </row>
    <row r="13" spans="1:10" x14ac:dyDescent="0.2">
      <c r="A13" s="2" t="s">
        <v>32</v>
      </c>
      <c r="B13" s="2" t="str">
        <f>VLOOKUP(batting_stats[[#This Row],[player_id]],'players '!A13:J100,2)</f>
        <v>MS Dhoni</v>
      </c>
      <c r="C13" s="2" t="str">
        <f>VLOOKUP(batting_stats[[#This Row],[player_name]],auction_data[#All],2,0)</f>
        <v>Chennai Super Kings</v>
      </c>
      <c r="D13" s="2">
        <f>VLOOKUP(batting_stats[[#This Row],[team]],Teams!$A$3:$E$11,5,0)</f>
        <v>72</v>
      </c>
      <c r="E13" s="2">
        <v>4165</v>
      </c>
      <c r="F13" s="2">
        <v>3433</v>
      </c>
      <c r="G13" s="19">
        <f>(batting_stats[[#This Row],[runs]])*100/(batting_stats[[#This Row],[balls]])</f>
        <v>121.32245849111564</v>
      </c>
      <c r="H13" s="19">
        <f>batting_stats[[#This Row],[runs]]/batting_stats[[#This Row],[matches_played]]</f>
        <v>57.847222222222221</v>
      </c>
      <c r="I13" s="2">
        <v>457</v>
      </c>
      <c r="J13" s="2">
        <v>213</v>
      </c>
    </row>
    <row r="14" spans="1:10" x14ac:dyDescent="0.2">
      <c r="A14" s="2" t="s">
        <v>34</v>
      </c>
      <c r="B14" s="2" t="str">
        <f>VLOOKUP(batting_stats[[#This Row],[player_id]],'players '!A14:J101,2)</f>
        <v>Ruturaj Gaikwad</v>
      </c>
      <c r="C14" s="2" t="str">
        <f>VLOOKUP(batting_stats[[#This Row],[player_name]],auction_data[#All],2,0)</f>
        <v>Chennai Super Kings</v>
      </c>
      <c r="D14" s="2">
        <f>VLOOKUP(batting_stats[[#This Row],[team]],Teams!$A$3:$E$11,5,0)</f>
        <v>72</v>
      </c>
      <c r="E14" s="2">
        <v>3923</v>
      </c>
      <c r="F14" s="2">
        <v>2981</v>
      </c>
      <c r="G14" s="19">
        <f>(batting_stats[[#This Row],[runs]])*100/(batting_stats[[#This Row],[balls]])</f>
        <v>131.60013418316001</v>
      </c>
      <c r="H14" s="19">
        <f>batting_stats[[#This Row],[runs]]/batting_stats[[#This Row],[matches_played]]</f>
        <v>54.486111111111114</v>
      </c>
      <c r="I14" s="2">
        <v>417</v>
      </c>
      <c r="J14" s="2">
        <v>214</v>
      </c>
    </row>
    <row r="15" spans="1:10" x14ac:dyDescent="0.2">
      <c r="A15" s="2" t="s">
        <v>36</v>
      </c>
      <c r="B15" s="2" t="str">
        <f>VLOOKUP(batting_stats[[#This Row],[player_id]],'players '!A15:J102,2)</f>
        <v>Ravindra Jadeja</v>
      </c>
      <c r="C15" s="2" t="str">
        <f>VLOOKUP(batting_stats[[#This Row],[player_name]],auction_data[#All],2,0)</f>
        <v>Chennai Super Kings</v>
      </c>
      <c r="D15" s="2">
        <f>VLOOKUP(batting_stats[[#This Row],[team]],Teams!$A$3:$E$11,5,0)</f>
        <v>72</v>
      </c>
      <c r="E15" s="2">
        <v>2046</v>
      </c>
      <c r="F15" s="2">
        <v>1517</v>
      </c>
      <c r="G15" s="19">
        <f>(batting_stats[[#This Row],[runs]])*100/(batting_stats[[#This Row],[balls]])</f>
        <v>134.87145682267632</v>
      </c>
      <c r="H15" s="19">
        <f>batting_stats[[#This Row],[runs]]/batting_stats[[#This Row],[matches_played]]</f>
        <v>28.416666666666668</v>
      </c>
      <c r="I15" s="2">
        <v>166</v>
      </c>
      <c r="J15" s="2">
        <v>92</v>
      </c>
    </row>
    <row r="16" spans="1:10" x14ac:dyDescent="0.2">
      <c r="A16" s="2" t="s">
        <v>38</v>
      </c>
      <c r="B16" s="2" t="str">
        <f>VLOOKUP(batting_stats[[#This Row],[player_id]],'players '!A16:J103,2)</f>
        <v>Shivam Dube</v>
      </c>
      <c r="C16" s="2" t="str">
        <f>VLOOKUP(batting_stats[[#This Row],[player_name]],auction_data[#All],2,0)</f>
        <v>Chennai Super Kings</v>
      </c>
      <c r="D16" s="2">
        <f>VLOOKUP(batting_stats[[#This Row],[team]],Teams!$A$3:$E$11,5,0)</f>
        <v>72</v>
      </c>
      <c r="E16" s="2">
        <v>4406</v>
      </c>
      <c r="F16" s="2">
        <v>3582</v>
      </c>
      <c r="G16" s="19">
        <f>(batting_stats[[#This Row],[runs]])*100/(batting_stats[[#This Row],[balls]])</f>
        <v>123.00390843104411</v>
      </c>
      <c r="H16" s="19">
        <f>batting_stats[[#This Row],[runs]]/batting_stats[[#This Row],[matches_played]]</f>
        <v>61.194444444444443</v>
      </c>
      <c r="I16" s="2">
        <v>512</v>
      </c>
      <c r="J16" s="2">
        <v>134</v>
      </c>
    </row>
    <row r="17" spans="1:10" x14ac:dyDescent="0.2">
      <c r="A17" s="2" t="s">
        <v>42</v>
      </c>
      <c r="B17" s="2" t="str">
        <f>VLOOKUP(batting_stats[[#This Row],[player_id]],'players '!A17:J104,2)</f>
        <v>Tushar Deshpande</v>
      </c>
      <c r="C17" s="2" t="str">
        <f>VLOOKUP(batting_stats[[#This Row],[player_name]],auction_data[#All],2,0)</f>
        <v>Chennai Super Kings</v>
      </c>
      <c r="D17" s="2">
        <f>VLOOKUP(batting_stats[[#This Row],[team]],Teams!$A$3:$E$11,5,0)</f>
        <v>72</v>
      </c>
      <c r="E17" s="2">
        <v>253</v>
      </c>
      <c r="F17" s="2">
        <v>211</v>
      </c>
      <c r="G17" s="19">
        <f>(batting_stats[[#This Row],[runs]])*100/(batting_stats[[#This Row],[balls]])</f>
        <v>119.90521327014218</v>
      </c>
      <c r="H17" s="19">
        <f>batting_stats[[#This Row],[runs]]/batting_stats[[#This Row],[matches_played]]</f>
        <v>3.5138888888888888</v>
      </c>
      <c r="I17" s="2">
        <v>17</v>
      </c>
      <c r="J17" s="2">
        <v>10</v>
      </c>
    </row>
    <row r="18" spans="1:10" x14ac:dyDescent="0.2">
      <c r="A18" s="2" t="s">
        <v>46</v>
      </c>
      <c r="B18" s="2" t="str">
        <f>VLOOKUP(batting_stats[[#This Row],[player_id]],'players '!A18:J105,2)</f>
        <v>Ajinkya Rahane</v>
      </c>
      <c r="C18" s="2" t="str">
        <f>VLOOKUP(batting_stats[[#This Row],[player_name]],auction_data[#All],2,0)</f>
        <v>Chennai Super Kings</v>
      </c>
      <c r="D18" s="2">
        <f>VLOOKUP(batting_stats[[#This Row],[team]],Teams!$A$3:$E$11,5,0)</f>
        <v>72</v>
      </c>
      <c r="E18" s="2">
        <v>4797</v>
      </c>
      <c r="F18" s="2">
        <v>3281</v>
      </c>
      <c r="G18" s="19">
        <f>(batting_stats[[#This Row],[runs]])*100/(batting_stats[[#This Row],[balls]])</f>
        <v>146.20542517525143</v>
      </c>
      <c r="H18" s="19">
        <f>batting_stats[[#This Row],[runs]]/batting_stats[[#This Row],[matches_played]]</f>
        <v>66.625</v>
      </c>
      <c r="I18" s="2">
        <v>390</v>
      </c>
      <c r="J18" s="2">
        <v>153</v>
      </c>
    </row>
    <row r="19" spans="1:10" x14ac:dyDescent="0.2">
      <c r="A19" s="2" t="s">
        <v>48</v>
      </c>
      <c r="B19" s="2" t="str">
        <f>VLOOKUP(batting_stats[[#This Row],[player_id]],'players '!A19:J106,2)</f>
        <v>Daryl Mitchell</v>
      </c>
      <c r="C19" s="2" t="str">
        <f>VLOOKUP(batting_stats[[#This Row],[player_name]],auction_data[#All],2,0)</f>
        <v>Chennai Super Kings</v>
      </c>
      <c r="D19" s="2">
        <f>VLOOKUP(batting_stats[[#This Row],[team]],Teams!$A$3:$E$11,5,0)</f>
        <v>72</v>
      </c>
      <c r="E19" s="2">
        <v>5970</v>
      </c>
      <c r="F19" s="2">
        <v>4248</v>
      </c>
      <c r="G19" s="19">
        <f>(batting_stats[[#This Row],[runs]])*100/(batting_stats[[#This Row],[balls]])</f>
        <v>140.5367231638418</v>
      </c>
      <c r="H19" s="19">
        <f>batting_stats[[#This Row],[runs]]/batting_stats[[#This Row],[matches_played]]</f>
        <v>82.916666666666671</v>
      </c>
      <c r="I19" s="2">
        <v>546</v>
      </c>
      <c r="J19" s="2">
        <v>219</v>
      </c>
    </row>
    <row r="20" spans="1:10" x14ac:dyDescent="0.2">
      <c r="A20" s="2" t="s">
        <v>50</v>
      </c>
      <c r="B20" s="2" t="str">
        <f>VLOOKUP(batting_stats[[#This Row],[player_id]],'players '!A20:J107,2)</f>
        <v>Maheesh Theekshana</v>
      </c>
      <c r="C20" s="2" t="str">
        <f>VLOOKUP(batting_stats[[#This Row],[player_name]],auction_data[#All],2,0)</f>
        <v>Chennai Super Kings</v>
      </c>
      <c r="D20" s="2">
        <f>VLOOKUP(batting_stats[[#This Row],[team]],Teams!$A$3:$E$11,5,0)</f>
        <v>72</v>
      </c>
      <c r="E20" s="2">
        <v>101</v>
      </c>
      <c r="F20" s="2">
        <v>89</v>
      </c>
      <c r="G20" s="19">
        <f>(batting_stats[[#This Row],[runs]])*100/(batting_stats[[#This Row],[balls]])</f>
        <v>113.48314606741573</v>
      </c>
      <c r="H20" s="19">
        <f>batting_stats[[#This Row],[runs]]/batting_stats[[#This Row],[matches_played]]</f>
        <v>1.4027777777777777</v>
      </c>
      <c r="I20" s="2">
        <v>7</v>
      </c>
      <c r="J20" s="2">
        <v>4</v>
      </c>
    </row>
    <row r="21" spans="1:10" x14ac:dyDescent="0.2">
      <c r="A21" s="2" t="s">
        <v>52</v>
      </c>
      <c r="B21" s="2" t="str">
        <f>VLOOKUP(batting_stats[[#This Row],[player_id]],'players '!A21:J108,2)</f>
        <v>Sameer Rizvi</v>
      </c>
      <c r="C21" s="2" t="str">
        <f>VLOOKUP(batting_stats[[#This Row],[player_name]],auction_data[#All],2,0)</f>
        <v>Chennai Super Kings</v>
      </c>
      <c r="D21" s="2">
        <f>VLOOKUP(batting_stats[[#This Row],[team]],Teams!$A$3:$E$11,5,0)</f>
        <v>72</v>
      </c>
      <c r="E21" s="2">
        <v>1259</v>
      </c>
      <c r="F21" s="2">
        <v>977</v>
      </c>
      <c r="G21" s="19">
        <f>(batting_stats[[#This Row],[runs]])*100/(batting_stats[[#This Row],[balls]])</f>
        <v>128.86386898669397</v>
      </c>
      <c r="H21" s="19">
        <f>batting_stats[[#This Row],[runs]]/batting_stats[[#This Row],[matches_played]]</f>
        <v>17.486111111111111</v>
      </c>
      <c r="I21" s="2">
        <v>119</v>
      </c>
      <c r="J21" s="2">
        <v>43</v>
      </c>
    </row>
    <row r="22" spans="1:10" x14ac:dyDescent="0.2">
      <c r="A22" s="2" t="s">
        <v>54</v>
      </c>
      <c r="B22" s="2" t="str">
        <f>VLOOKUP(batting_stats[[#This Row],[player_id]],'players '!A22:J109,2)</f>
        <v>Virat Kohli</v>
      </c>
      <c r="C22" s="2" t="str">
        <f>VLOOKUP(batting_stats[[#This Row],[player_name]],auction_data[#All],2,0)</f>
        <v>Royal Challengers Bengaluru</v>
      </c>
      <c r="D22" s="2">
        <f>VLOOKUP(batting_stats[[#This Row],[team]],Teams!$A$3:$E$11,5,0)</f>
        <v>61</v>
      </c>
      <c r="E22" s="2">
        <v>5151</v>
      </c>
      <c r="F22" s="2">
        <v>3891</v>
      </c>
      <c r="G22" s="19">
        <f>(batting_stats[[#This Row],[runs]])*100/(batting_stats[[#This Row],[balls]])</f>
        <v>132.38242097147264</v>
      </c>
      <c r="H22" s="19">
        <f>batting_stats[[#This Row],[runs]]/batting_stats[[#This Row],[matches_played]]</f>
        <v>84.442622950819668</v>
      </c>
      <c r="I22" s="2">
        <v>552</v>
      </c>
      <c r="J22" s="2">
        <v>182</v>
      </c>
    </row>
    <row r="23" spans="1:10" x14ac:dyDescent="0.2">
      <c r="A23" s="2" t="s">
        <v>56</v>
      </c>
      <c r="B23" s="2" t="str">
        <f>VLOOKUP(batting_stats[[#This Row],[player_id]],'players '!A23:J110,2)</f>
        <v>Faf du Plessis</v>
      </c>
      <c r="C23" s="2" t="str">
        <f>VLOOKUP(batting_stats[[#This Row],[player_name]],auction_data[#All],2,0)</f>
        <v>Royal Challengers Bengaluru</v>
      </c>
      <c r="D23" s="2">
        <f>VLOOKUP(batting_stats[[#This Row],[team]],Teams!$A$3:$E$11,5,0)</f>
        <v>61</v>
      </c>
      <c r="E23" s="2">
        <v>2234</v>
      </c>
      <c r="F23" s="2">
        <v>1825</v>
      </c>
      <c r="G23" s="19">
        <f>(batting_stats[[#This Row],[runs]])*100/(batting_stats[[#This Row],[balls]])</f>
        <v>122.41095890410959</v>
      </c>
      <c r="H23" s="19">
        <f>batting_stats[[#This Row],[runs]]/batting_stats[[#This Row],[matches_played]]</f>
        <v>36.622950819672134</v>
      </c>
      <c r="I23" s="2">
        <v>256</v>
      </c>
      <c r="J23" s="2">
        <v>108</v>
      </c>
    </row>
    <row r="24" spans="1:10" x14ac:dyDescent="0.2">
      <c r="A24" s="2" t="s">
        <v>58</v>
      </c>
      <c r="B24" s="2" t="str">
        <f>VLOOKUP(batting_stats[[#This Row],[player_id]],'players '!A24:J111,2)</f>
        <v>Glenn Maxwell</v>
      </c>
      <c r="C24" s="2" t="str">
        <f>VLOOKUP(batting_stats[[#This Row],[player_name]],auction_data[#All],2,0)</f>
        <v>Royal Challengers Bengaluru</v>
      </c>
      <c r="D24" s="2">
        <f>VLOOKUP(batting_stats[[#This Row],[team]],Teams!$A$3:$E$11,5,0)</f>
        <v>61</v>
      </c>
      <c r="E24" s="2">
        <v>2772</v>
      </c>
      <c r="F24" s="2">
        <v>2054</v>
      </c>
      <c r="G24" s="19">
        <f>(batting_stats[[#This Row],[runs]])*100/(batting_stats[[#This Row],[balls]])</f>
        <v>134.95618305744887</v>
      </c>
      <c r="H24" s="19">
        <f>batting_stats[[#This Row],[runs]]/batting_stats[[#This Row],[matches_played]]</f>
        <v>45.442622950819676</v>
      </c>
      <c r="I24" s="2">
        <v>286</v>
      </c>
      <c r="J24" s="2">
        <v>102</v>
      </c>
    </row>
    <row r="25" spans="1:10" x14ac:dyDescent="0.2">
      <c r="A25" s="2" t="s">
        <v>62</v>
      </c>
      <c r="B25" s="2" t="str">
        <f>VLOOKUP(batting_stats[[#This Row],[player_id]],'players '!A25:J112,2)</f>
        <v>Rajat Patidar</v>
      </c>
      <c r="C25" s="2" t="str">
        <f>VLOOKUP(batting_stats[[#This Row],[player_name]],auction_data[#All],2,0)</f>
        <v>Royal Challengers Bengaluru</v>
      </c>
      <c r="D25" s="2">
        <f>VLOOKUP(batting_stats[[#This Row],[team]],Teams!$A$3:$E$11,5,0)</f>
        <v>61</v>
      </c>
      <c r="E25" s="2">
        <v>2094</v>
      </c>
      <c r="F25" s="2">
        <v>1713</v>
      </c>
      <c r="G25" s="19">
        <f>(batting_stats[[#This Row],[runs]])*100/(batting_stats[[#This Row],[balls]])</f>
        <v>122.24168126094571</v>
      </c>
      <c r="H25" s="19">
        <f>batting_stats[[#This Row],[runs]]/batting_stats[[#This Row],[matches_played]]</f>
        <v>34.327868852459019</v>
      </c>
      <c r="I25" s="2">
        <v>246</v>
      </c>
      <c r="J25" s="2">
        <v>124</v>
      </c>
    </row>
    <row r="26" spans="1:10" x14ac:dyDescent="0.2">
      <c r="A26" s="2" t="s">
        <v>64</v>
      </c>
      <c r="B26" s="2" t="str">
        <f>VLOOKUP(batting_stats[[#This Row],[player_id]],'players '!A26:J113,2)</f>
        <v>Dinesh Karthik</v>
      </c>
      <c r="C26" s="2" t="str">
        <f>VLOOKUP(batting_stats[[#This Row],[player_name]],auction_data[#All],2,0)</f>
        <v>Royal Challengers Bengaluru</v>
      </c>
      <c r="D26" s="2">
        <f>VLOOKUP(batting_stats[[#This Row],[team]],Teams!$A$3:$E$11,5,0)</f>
        <v>61</v>
      </c>
      <c r="E26" s="2">
        <v>3250</v>
      </c>
      <c r="F26" s="2">
        <v>2335</v>
      </c>
      <c r="G26" s="19">
        <f>(batting_stats[[#This Row],[runs]])*100/(batting_stats[[#This Row],[balls]])</f>
        <v>139.18629550321199</v>
      </c>
      <c r="H26" s="19">
        <f>batting_stats[[#This Row],[runs]]/batting_stats[[#This Row],[matches_played]]</f>
        <v>53.278688524590166</v>
      </c>
      <c r="I26" s="2">
        <v>315</v>
      </c>
      <c r="J26" s="2">
        <v>121</v>
      </c>
    </row>
    <row r="27" spans="1:10" x14ac:dyDescent="0.2">
      <c r="A27" s="2" t="s">
        <v>66</v>
      </c>
      <c r="B27" s="2" t="str">
        <f>VLOOKUP(batting_stats[[#This Row],[player_id]],'players '!A27:J114,2)</f>
        <v>Cameron Green</v>
      </c>
      <c r="C27" s="2" t="str">
        <f>VLOOKUP(batting_stats[[#This Row],[player_name]],auction_data[#All],2,0)</f>
        <v>Royal Challengers Bengaluru</v>
      </c>
      <c r="D27" s="2">
        <f>VLOOKUP(batting_stats[[#This Row],[team]],Teams!$A$3:$E$11,5,0)</f>
        <v>61</v>
      </c>
      <c r="E27" s="2">
        <v>3274</v>
      </c>
      <c r="F27" s="2">
        <v>2598</v>
      </c>
      <c r="G27" s="19">
        <f>(batting_stats[[#This Row],[runs]])*100/(batting_stats[[#This Row],[balls]])</f>
        <v>126.02001539645882</v>
      </c>
      <c r="H27" s="19">
        <f>batting_stats[[#This Row],[runs]]/batting_stats[[#This Row],[matches_played]]</f>
        <v>53.672131147540981</v>
      </c>
      <c r="I27" s="2">
        <v>312</v>
      </c>
      <c r="J27" s="2">
        <v>145</v>
      </c>
    </row>
    <row r="28" spans="1:10" x14ac:dyDescent="0.2">
      <c r="A28" s="2" t="s">
        <v>68</v>
      </c>
      <c r="B28" s="2" t="str">
        <f>VLOOKUP(batting_stats[[#This Row],[player_id]],'players '!A28:J115,2)</f>
        <v>Anuj Rawat</v>
      </c>
      <c r="C28" s="2" t="str">
        <f>VLOOKUP(batting_stats[[#This Row],[player_name]],auction_data[#All],2,0)</f>
        <v>Royal Challengers Bengaluru</v>
      </c>
      <c r="D28" s="2">
        <f>VLOOKUP(batting_stats[[#This Row],[team]],Teams!$A$3:$E$11,5,0)</f>
        <v>61</v>
      </c>
      <c r="E28" s="2">
        <v>3223</v>
      </c>
      <c r="F28" s="2">
        <v>2151</v>
      </c>
      <c r="G28" s="19">
        <f>(batting_stats[[#This Row],[runs]])*100/(batting_stats[[#This Row],[balls]])</f>
        <v>149.83728498372849</v>
      </c>
      <c r="H28" s="19">
        <f>batting_stats[[#This Row],[runs]]/batting_stats[[#This Row],[matches_played]]</f>
        <v>52.83606557377049</v>
      </c>
      <c r="I28" s="2">
        <v>295</v>
      </c>
      <c r="J28" s="2">
        <v>191</v>
      </c>
    </row>
    <row r="29" spans="1:10" x14ac:dyDescent="0.2">
      <c r="A29" s="2" t="s">
        <v>70</v>
      </c>
      <c r="B29" s="2" t="str">
        <f>VLOOKUP(batting_stats[[#This Row],[player_id]],'players '!A29:J116,2)</f>
        <v>Yash Dayal</v>
      </c>
      <c r="C29" s="2" t="str">
        <f>VLOOKUP(batting_stats[[#This Row],[player_name]],auction_data[#All],2,0)</f>
        <v>Royal Challengers Bengaluru</v>
      </c>
      <c r="D29" s="2">
        <f>VLOOKUP(batting_stats[[#This Row],[team]],Teams!$A$3:$E$11,5,0)</f>
        <v>61</v>
      </c>
      <c r="E29" s="2">
        <v>190</v>
      </c>
      <c r="F29" s="2">
        <v>189</v>
      </c>
      <c r="G29" s="19">
        <f>(batting_stats[[#This Row],[runs]])*100/(batting_stats[[#This Row],[balls]])</f>
        <v>100.52910052910053</v>
      </c>
      <c r="H29" s="19">
        <f>batting_stats[[#This Row],[runs]]/batting_stats[[#This Row],[matches_played]]</f>
        <v>3.1147540983606556</v>
      </c>
      <c r="I29" s="2">
        <v>13</v>
      </c>
      <c r="J29" s="2">
        <v>7</v>
      </c>
    </row>
    <row r="30" spans="1:10" x14ac:dyDescent="0.2">
      <c r="A30" s="2" t="s">
        <v>72</v>
      </c>
      <c r="B30" s="2" t="str">
        <f>VLOOKUP(batting_stats[[#This Row],[player_id]],'players '!A30:J117,2)</f>
        <v>Mayank Dagar</v>
      </c>
      <c r="C30" s="2" t="str">
        <f>VLOOKUP(batting_stats[[#This Row],[player_name]],auction_data[#All],2,0)</f>
        <v>Royal Challengers Bengaluru</v>
      </c>
      <c r="D30" s="2">
        <f>VLOOKUP(batting_stats[[#This Row],[team]],Teams!$A$3:$E$11,5,0)</f>
        <v>61</v>
      </c>
      <c r="E30" s="2">
        <v>196</v>
      </c>
      <c r="F30" s="2">
        <v>158</v>
      </c>
      <c r="G30" s="19">
        <f>(batting_stats[[#This Row],[runs]])*100/(batting_stats[[#This Row],[balls]])</f>
        <v>124.0506329113924</v>
      </c>
      <c r="H30" s="19">
        <f>batting_stats[[#This Row],[runs]]/batting_stats[[#This Row],[matches_played]]</f>
        <v>3.2131147540983607</v>
      </c>
      <c r="I30" s="2">
        <v>13</v>
      </c>
      <c r="J30" s="2">
        <v>7</v>
      </c>
    </row>
    <row r="31" spans="1:10" x14ac:dyDescent="0.2">
      <c r="A31" s="2" t="s">
        <v>74</v>
      </c>
      <c r="B31" s="2" t="str">
        <f>VLOOKUP(batting_stats[[#This Row],[player_id]],'players '!A31:J118,2)</f>
        <v>Karn Sharma</v>
      </c>
      <c r="C31" s="2" t="str">
        <f>VLOOKUP(batting_stats[[#This Row],[player_name]],auction_data[#All],2,0)</f>
        <v>Royal Challengers Bengaluru</v>
      </c>
      <c r="D31" s="2">
        <f>VLOOKUP(batting_stats[[#This Row],[team]],Teams!$A$3:$E$11,5,0)</f>
        <v>61</v>
      </c>
      <c r="E31" s="2">
        <v>367</v>
      </c>
      <c r="F31" s="2">
        <v>341</v>
      </c>
      <c r="G31" s="19">
        <f>(batting_stats[[#This Row],[runs]])*100/(batting_stats[[#This Row],[balls]])</f>
        <v>107.62463343108504</v>
      </c>
      <c r="H31" s="19">
        <f>batting_stats[[#This Row],[runs]]/batting_stats[[#This Row],[matches_played]]</f>
        <v>6.0163934426229506</v>
      </c>
      <c r="I31" s="2">
        <v>25</v>
      </c>
      <c r="J31" s="2">
        <v>14</v>
      </c>
    </row>
    <row r="32" spans="1:10" x14ac:dyDescent="0.2">
      <c r="A32" s="2" t="s">
        <v>76</v>
      </c>
      <c r="B32" s="2" t="str">
        <f>VLOOKUP(batting_stats[[#This Row],[player_id]],'players '!A32:J119,2)</f>
        <v>Shreyas Iyer</v>
      </c>
      <c r="C32" s="2" t="str">
        <f>VLOOKUP(batting_stats[[#This Row],[player_name]],auction_data[#All],2,0)</f>
        <v>Kolkata Knight Riders</v>
      </c>
      <c r="D32" s="2">
        <f>VLOOKUP(batting_stats[[#This Row],[team]],Teams!$A$3:$E$11,5,0)</f>
        <v>56</v>
      </c>
      <c r="E32" s="2">
        <v>6094</v>
      </c>
      <c r="F32" s="2">
        <v>5028</v>
      </c>
      <c r="G32" s="19">
        <f>(batting_stats[[#This Row],[runs]])*100/(batting_stats[[#This Row],[balls]])</f>
        <v>121.20127287191727</v>
      </c>
      <c r="H32" s="19">
        <f>batting_stats[[#This Row],[runs]]/batting_stats[[#This Row],[matches_played]]</f>
        <v>108.82142857142857</v>
      </c>
      <c r="I32" s="2">
        <v>679</v>
      </c>
      <c r="J32" s="2">
        <v>188</v>
      </c>
    </row>
    <row r="33" spans="1:10" x14ac:dyDescent="0.2">
      <c r="A33" s="2" t="s">
        <v>78</v>
      </c>
      <c r="B33" s="2" t="str">
        <f>VLOOKUP(batting_stats[[#This Row],[player_id]],'players '!A33:J120,2)</f>
        <v>Sunil Narine</v>
      </c>
      <c r="C33" s="2" t="str">
        <f>VLOOKUP(batting_stats[[#This Row],[player_name]],auction_data[#All],2,0)</f>
        <v>Kolkata Knight Riders</v>
      </c>
      <c r="D33" s="2">
        <f>VLOOKUP(batting_stats[[#This Row],[team]],Teams!$A$3:$E$11,5,0)</f>
        <v>56</v>
      </c>
      <c r="E33" s="2">
        <v>3788</v>
      </c>
      <c r="F33" s="2">
        <v>2668</v>
      </c>
      <c r="G33" s="19">
        <f>(batting_stats[[#This Row],[runs]])*100/(batting_stats[[#This Row],[balls]])</f>
        <v>141.97901049475263</v>
      </c>
      <c r="H33" s="19">
        <f>batting_stats[[#This Row],[runs]]/batting_stats[[#This Row],[matches_played]]</f>
        <v>67.642857142857139</v>
      </c>
      <c r="I33" s="2">
        <v>316</v>
      </c>
      <c r="J33" s="2">
        <v>147</v>
      </c>
    </row>
    <row r="34" spans="1:10" x14ac:dyDescent="0.2">
      <c r="A34" s="2" t="s">
        <v>80</v>
      </c>
      <c r="B34" s="2" t="str">
        <f>VLOOKUP(batting_stats[[#This Row],[player_id]],'players '!A34:J121,2)</f>
        <v>Andre Russell</v>
      </c>
      <c r="C34" s="2" t="str">
        <f>VLOOKUP(batting_stats[[#This Row],[player_name]],auction_data[#All],2,0)</f>
        <v>Kolkata Knight Riders</v>
      </c>
      <c r="D34" s="2">
        <f>VLOOKUP(batting_stats[[#This Row],[team]],Teams!$A$3:$E$11,5,0)</f>
        <v>56</v>
      </c>
      <c r="E34" s="2">
        <v>5218</v>
      </c>
      <c r="F34" s="2">
        <v>3566</v>
      </c>
      <c r="G34" s="19">
        <f>(batting_stats[[#This Row],[runs]])*100/(batting_stats[[#This Row],[balls]])</f>
        <v>146.32641615255187</v>
      </c>
      <c r="H34" s="19">
        <f>batting_stats[[#This Row],[runs]]/batting_stats[[#This Row],[matches_played]]</f>
        <v>93.178571428571431</v>
      </c>
      <c r="I34" s="2">
        <v>493</v>
      </c>
      <c r="J34" s="2">
        <v>235</v>
      </c>
    </row>
    <row r="35" spans="1:10" x14ac:dyDescent="0.2">
      <c r="A35" s="2" t="s">
        <v>82</v>
      </c>
      <c r="B35" s="2" t="str">
        <f>VLOOKUP(batting_stats[[#This Row],[player_id]],'players '!A35:J122,2)</f>
        <v>Rinku Singh</v>
      </c>
      <c r="C35" s="2" t="str">
        <f>VLOOKUP(batting_stats[[#This Row],[player_name]],auction_data[#All],2,0)</f>
        <v>Kolkata Knight Riders</v>
      </c>
      <c r="D35" s="2">
        <f>VLOOKUP(batting_stats[[#This Row],[team]],Teams!$A$3:$E$11,5,0)</f>
        <v>56</v>
      </c>
      <c r="E35" s="2">
        <v>4747</v>
      </c>
      <c r="F35" s="2">
        <v>3185</v>
      </c>
      <c r="G35" s="19">
        <f>(batting_stats[[#This Row],[runs]])*100/(batting_stats[[#This Row],[balls]])</f>
        <v>149.04238618524332</v>
      </c>
      <c r="H35" s="19">
        <f>batting_stats[[#This Row],[runs]]/batting_stats[[#This Row],[matches_played]]</f>
        <v>84.767857142857139</v>
      </c>
      <c r="I35" s="2">
        <v>435</v>
      </c>
      <c r="J35" s="2">
        <v>266</v>
      </c>
    </row>
    <row r="36" spans="1:10" x14ac:dyDescent="0.2">
      <c r="A36" s="2" t="s">
        <v>84</v>
      </c>
      <c r="B36" s="2" t="str">
        <f>VLOOKUP(batting_stats[[#This Row],[player_id]],'players '!A36:J123,2)</f>
        <v>Mitchell Starc</v>
      </c>
      <c r="C36" s="2" t="str">
        <f>VLOOKUP(batting_stats[[#This Row],[player_name]],auction_data[#All],2,0)</f>
        <v>Kolkata Knight Riders</v>
      </c>
      <c r="D36" s="2">
        <f>VLOOKUP(batting_stats[[#This Row],[team]],Teams!$A$3:$E$11,5,0)</f>
        <v>56</v>
      </c>
      <c r="E36" s="2">
        <v>289</v>
      </c>
      <c r="F36" s="2">
        <v>224</v>
      </c>
      <c r="G36" s="19">
        <f>(batting_stats[[#This Row],[runs]])*100/(batting_stats[[#This Row],[balls]])</f>
        <v>129.01785714285714</v>
      </c>
      <c r="H36" s="19">
        <f>batting_stats[[#This Row],[runs]]/batting_stats[[#This Row],[matches_played]]</f>
        <v>5.1607142857142856</v>
      </c>
      <c r="I36" s="2">
        <v>20</v>
      </c>
      <c r="J36" s="2">
        <v>11</v>
      </c>
    </row>
    <row r="37" spans="1:10" x14ac:dyDescent="0.2">
      <c r="A37" s="2" t="s">
        <v>86</v>
      </c>
      <c r="B37" s="2" t="str">
        <f>VLOOKUP(batting_stats[[#This Row],[player_id]],'players '!A37:J124,2)</f>
        <v>Phil Salt</v>
      </c>
      <c r="C37" s="2" t="str">
        <f>VLOOKUP(batting_stats[[#This Row],[player_name]],auction_data[#All],2,0)</f>
        <v>Kolkata Knight Riders</v>
      </c>
      <c r="D37" s="2">
        <f>VLOOKUP(batting_stats[[#This Row],[team]],Teams!$A$3:$E$11,5,0)</f>
        <v>56</v>
      </c>
      <c r="E37" s="2">
        <v>6340</v>
      </c>
      <c r="F37" s="2">
        <v>4473</v>
      </c>
      <c r="G37" s="19">
        <f>(batting_stats[[#This Row],[runs]])*100/(batting_stats[[#This Row],[balls]])</f>
        <v>141.7393248379164</v>
      </c>
      <c r="H37" s="19">
        <f>batting_stats[[#This Row],[runs]]/batting_stats[[#This Row],[matches_played]]</f>
        <v>113.21428571428571</v>
      </c>
      <c r="I37" s="2">
        <v>755</v>
      </c>
      <c r="J37" s="2">
        <v>374</v>
      </c>
    </row>
    <row r="38" spans="1:10" x14ac:dyDescent="0.2">
      <c r="A38" s="2" t="s">
        <v>88</v>
      </c>
      <c r="B38" s="2" t="str">
        <f>VLOOKUP(batting_stats[[#This Row],[player_id]],'players '!A38:J125,2)</f>
        <v>Venkatesh Iyer</v>
      </c>
      <c r="C38" s="2" t="str">
        <f>VLOOKUP(batting_stats[[#This Row],[player_name]],auction_data[#All],2,0)</f>
        <v>Kolkata Knight Riders</v>
      </c>
      <c r="D38" s="2">
        <f>VLOOKUP(batting_stats[[#This Row],[team]],Teams!$A$3:$E$11,5,0)</f>
        <v>56</v>
      </c>
      <c r="E38" s="2">
        <v>5365</v>
      </c>
      <c r="F38" s="2">
        <v>4096</v>
      </c>
      <c r="G38" s="19">
        <f>(batting_stats[[#This Row],[runs]])*100/(batting_stats[[#This Row],[balls]])</f>
        <v>130.9814453125</v>
      </c>
      <c r="H38" s="19">
        <f>batting_stats[[#This Row],[runs]]/batting_stats[[#This Row],[matches_played]]</f>
        <v>95.803571428571431</v>
      </c>
      <c r="I38" s="2">
        <v>598</v>
      </c>
      <c r="J38" s="2">
        <v>163</v>
      </c>
    </row>
    <row r="39" spans="1:10" x14ac:dyDescent="0.2">
      <c r="A39" s="2" t="s">
        <v>90</v>
      </c>
      <c r="B39" s="2" t="str">
        <f>VLOOKUP(batting_stats[[#This Row],[player_id]],'players '!A39:J126,2)</f>
        <v>Varun Chakravarthy</v>
      </c>
      <c r="C39" s="2" t="str">
        <f>VLOOKUP(batting_stats[[#This Row],[player_name]],auction_data[#All],2,0)</f>
        <v>Kolkata Knight Riders</v>
      </c>
      <c r="D39" s="2">
        <f>VLOOKUP(batting_stats[[#This Row],[team]],Teams!$A$3:$E$11,5,0)</f>
        <v>56</v>
      </c>
      <c r="E39" s="2">
        <v>184</v>
      </c>
      <c r="F39" s="2">
        <v>156</v>
      </c>
      <c r="G39" s="19">
        <f>(batting_stats[[#This Row],[runs]])*100/(batting_stats[[#This Row],[balls]])</f>
        <v>117.94871794871794</v>
      </c>
      <c r="H39" s="19">
        <f>batting_stats[[#This Row],[runs]]/batting_stats[[#This Row],[matches_played]]</f>
        <v>3.2857142857142856</v>
      </c>
      <c r="I39" s="2">
        <v>12</v>
      </c>
      <c r="J39" s="2">
        <v>7</v>
      </c>
    </row>
    <row r="40" spans="1:10" x14ac:dyDescent="0.2">
      <c r="A40" s="2" t="s">
        <v>94</v>
      </c>
      <c r="B40" s="2" t="str">
        <f>VLOOKUP(batting_stats[[#This Row],[player_id]],'players '!A40:J127,2)</f>
        <v>Ramandeep Singh</v>
      </c>
      <c r="C40" s="2" t="str">
        <f>VLOOKUP(batting_stats[[#This Row],[player_name]],auction_data[#All],2,0)</f>
        <v>Kolkata Knight Riders</v>
      </c>
      <c r="D40" s="2">
        <f>VLOOKUP(batting_stats[[#This Row],[team]],Teams!$A$3:$E$11,5,0)</f>
        <v>56</v>
      </c>
      <c r="E40" s="2">
        <v>3487</v>
      </c>
      <c r="F40" s="2">
        <v>2364</v>
      </c>
      <c r="G40" s="19">
        <f>(batting_stats[[#This Row],[runs]])*100/(batting_stats[[#This Row],[balls]])</f>
        <v>147.5042301184433</v>
      </c>
      <c r="H40" s="19">
        <f>batting_stats[[#This Row],[runs]]/batting_stats[[#This Row],[matches_played]]</f>
        <v>62.267857142857146</v>
      </c>
      <c r="I40" s="2">
        <v>309</v>
      </c>
      <c r="J40" s="2">
        <v>111</v>
      </c>
    </row>
    <row r="41" spans="1:10" x14ac:dyDescent="0.2">
      <c r="A41" s="2" t="s">
        <v>96</v>
      </c>
      <c r="B41" s="2" t="str">
        <f>VLOOKUP(batting_stats[[#This Row],[player_id]],'players '!A41:J128,2)</f>
        <v>Vaibhav Arora</v>
      </c>
      <c r="C41" s="2" t="str">
        <f>VLOOKUP(batting_stats[[#This Row],[player_name]],auction_data[#All],2,0)</f>
        <v>Kolkata Knight Riders</v>
      </c>
      <c r="D41" s="2">
        <f>VLOOKUP(batting_stats[[#This Row],[team]],Teams!$A$3:$E$11,5,0)</f>
        <v>56</v>
      </c>
      <c r="E41" s="2">
        <v>204</v>
      </c>
      <c r="F41" s="2">
        <v>170</v>
      </c>
      <c r="G41" s="19">
        <f>(batting_stats[[#This Row],[runs]])*100/(batting_stats[[#This Row],[balls]])</f>
        <v>120</v>
      </c>
      <c r="H41" s="19">
        <f>batting_stats[[#This Row],[runs]]/batting_stats[[#This Row],[matches_played]]</f>
        <v>3.6428571428571428</v>
      </c>
      <c r="I41" s="2">
        <v>14</v>
      </c>
      <c r="J41" s="2">
        <v>8</v>
      </c>
    </row>
    <row r="42" spans="1:10" x14ac:dyDescent="0.2">
      <c r="A42" s="2" t="s">
        <v>98</v>
      </c>
      <c r="B42" s="2" t="str">
        <f>VLOOKUP(batting_stats[[#This Row],[player_id]],'players '!A42:J129,2)</f>
        <v>Rishabh Pant</v>
      </c>
      <c r="C42" s="2" t="str">
        <f>VLOOKUP(batting_stats[[#This Row],[player_name]],auction_data[#All],2,0)</f>
        <v>Delhi Capitals</v>
      </c>
      <c r="D42" s="2">
        <f>VLOOKUP(batting_stats[[#This Row],[team]],Teams!$A$3:$E$11,5,0)</f>
        <v>74</v>
      </c>
      <c r="E42" s="2">
        <v>3293</v>
      </c>
      <c r="F42" s="2">
        <v>2197</v>
      </c>
      <c r="G42" s="19">
        <f>(batting_stats[[#This Row],[runs]])*100/(batting_stats[[#This Row],[balls]])</f>
        <v>149.88620846609012</v>
      </c>
      <c r="H42" s="19">
        <f>batting_stats[[#This Row],[runs]]/batting_stats[[#This Row],[matches_played]]</f>
        <v>44.5</v>
      </c>
      <c r="I42" s="2">
        <v>278</v>
      </c>
      <c r="J42" s="2">
        <v>121</v>
      </c>
    </row>
    <row r="43" spans="1:10" x14ac:dyDescent="0.2">
      <c r="A43" s="2" t="s">
        <v>100</v>
      </c>
      <c r="B43" s="2" t="str">
        <f>VLOOKUP(batting_stats[[#This Row],[player_id]],'players '!A43:J130,2)</f>
        <v>David Warner</v>
      </c>
      <c r="C43" s="2" t="str">
        <f>VLOOKUP(batting_stats[[#This Row],[player_name]],auction_data[#All],2,0)</f>
        <v>Delhi Capitals</v>
      </c>
      <c r="D43" s="2">
        <f>VLOOKUP(batting_stats[[#This Row],[team]],Teams!$A$3:$E$11,5,0)</f>
        <v>74</v>
      </c>
      <c r="E43" s="2">
        <v>5203</v>
      </c>
      <c r="F43" s="2">
        <v>4193</v>
      </c>
      <c r="G43" s="19">
        <f>(batting_stats[[#This Row],[runs]])*100/(batting_stats[[#This Row],[balls]])</f>
        <v>124.08776532315764</v>
      </c>
      <c r="H43" s="19">
        <f>batting_stats[[#This Row],[runs]]/batting_stats[[#This Row],[matches_played]]</f>
        <v>70.310810810810807</v>
      </c>
      <c r="I43" s="2">
        <v>510</v>
      </c>
      <c r="J43" s="2">
        <v>260</v>
      </c>
    </row>
    <row r="44" spans="1:10" x14ac:dyDescent="0.2">
      <c r="A44" s="2" t="s">
        <v>102</v>
      </c>
      <c r="B44" s="2" t="str">
        <f>VLOOKUP(batting_stats[[#This Row],[player_id]],'players '!A44:J131,2)</f>
        <v>Axar Patel</v>
      </c>
      <c r="C44" s="2" t="str">
        <f>VLOOKUP(batting_stats[[#This Row],[player_name]],auction_data[#All],2,0)</f>
        <v>Delhi Capitals</v>
      </c>
      <c r="D44" s="2">
        <f>VLOOKUP(batting_stats[[#This Row],[team]],Teams!$A$3:$E$11,5,0)</f>
        <v>74</v>
      </c>
      <c r="E44" s="2">
        <v>5225</v>
      </c>
      <c r="F44" s="2">
        <v>3941</v>
      </c>
      <c r="G44" s="19">
        <f>(batting_stats[[#This Row],[runs]])*100/(batting_stats[[#This Row],[balls]])</f>
        <v>132.58056330880487</v>
      </c>
      <c r="H44" s="19">
        <f>batting_stats[[#This Row],[runs]]/batting_stats[[#This Row],[matches_played]]</f>
        <v>70.608108108108112</v>
      </c>
      <c r="I44" s="2">
        <v>573</v>
      </c>
      <c r="J44" s="2">
        <v>180</v>
      </c>
    </row>
    <row r="45" spans="1:10" x14ac:dyDescent="0.2">
      <c r="A45" s="2" t="s">
        <v>104</v>
      </c>
      <c r="B45" s="2" t="str">
        <f>VLOOKUP(batting_stats[[#This Row],[player_id]],'players '!A45:J132,2)</f>
        <v>Kuldeep Yadav</v>
      </c>
      <c r="C45" s="2" t="str">
        <f>VLOOKUP(batting_stats[[#This Row],[player_name]],auction_data[#All],2,0)</f>
        <v>Delhi Capitals</v>
      </c>
      <c r="D45" s="2">
        <f>VLOOKUP(batting_stats[[#This Row],[team]],Teams!$A$3:$E$11,5,0)</f>
        <v>74</v>
      </c>
      <c r="E45" s="2">
        <v>193</v>
      </c>
      <c r="F45" s="2">
        <v>191</v>
      </c>
      <c r="G45" s="19">
        <f>(batting_stats[[#This Row],[runs]])*100/(batting_stats[[#This Row],[balls]])</f>
        <v>101.04712041884817</v>
      </c>
      <c r="H45" s="19">
        <f>batting_stats[[#This Row],[runs]]/batting_stats[[#This Row],[matches_played]]</f>
        <v>2.6081081081081079</v>
      </c>
      <c r="I45" s="2">
        <v>13</v>
      </c>
      <c r="J45" s="2">
        <v>7</v>
      </c>
    </row>
    <row r="46" spans="1:10" x14ac:dyDescent="0.2">
      <c r="A46" s="2" t="s">
        <v>106</v>
      </c>
      <c r="B46" s="2" t="str">
        <f>VLOOKUP(batting_stats[[#This Row],[player_id]],'players '!A46:J133,2)</f>
        <v>Prithvi Shaw</v>
      </c>
      <c r="C46" s="2" t="str">
        <f>VLOOKUP(batting_stats[[#This Row],[player_name]],auction_data[#All],2,0)</f>
        <v>Delhi Capitals</v>
      </c>
      <c r="D46" s="2">
        <f>VLOOKUP(batting_stats[[#This Row],[team]],Teams!$A$3:$E$11,5,0)</f>
        <v>74</v>
      </c>
      <c r="E46" s="2">
        <v>2734</v>
      </c>
      <c r="F46" s="2">
        <v>1876</v>
      </c>
      <c r="G46" s="19">
        <f>(batting_stats[[#This Row],[runs]])*100/(batting_stats[[#This Row],[balls]])</f>
        <v>145.73560767590618</v>
      </c>
      <c r="H46" s="19">
        <f>batting_stats[[#This Row],[runs]]/batting_stats[[#This Row],[matches_played]]</f>
        <v>36.945945945945944</v>
      </c>
      <c r="I46" s="2">
        <v>229</v>
      </c>
      <c r="J46" s="2">
        <v>138</v>
      </c>
    </row>
    <row r="47" spans="1:10" x14ac:dyDescent="0.2">
      <c r="A47" s="2" t="s">
        <v>108</v>
      </c>
      <c r="B47" s="2" t="str">
        <f>VLOOKUP(batting_stats[[#This Row],[player_id]],'players '!A47:J134,2)</f>
        <v>Jake Fraser-McGurk</v>
      </c>
      <c r="C47" s="2" t="str">
        <f>VLOOKUP(batting_stats[[#This Row],[player_name]],auction_data[#All],2,0)</f>
        <v>Delhi Capitals</v>
      </c>
      <c r="D47" s="2">
        <f>VLOOKUP(batting_stats[[#This Row],[team]],Teams!$A$3:$E$11,5,0)</f>
        <v>74</v>
      </c>
      <c r="E47" s="2">
        <v>5260</v>
      </c>
      <c r="F47" s="2">
        <v>3576</v>
      </c>
      <c r="G47" s="19">
        <f>(batting_stats[[#This Row],[runs]])*100/(batting_stats[[#This Row],[balls]])</f>
        <v>147.09172259507829</v>
      </c>
      <c r="H47" s="19">
        <f>batting_stats[[#This Row],[runs]]/batting_stats[[#This Row],[matches_played]]</f>
        <v>71.081081081081081</v>
      </c>
      <c r="I47" s="2">
        <v>556</v>
      </c>
      <c r="J47" s="2">
        <v>167</v>
      </c>
    </row>
    <row r="48" spans="1:10" x14ac:dyDescent="0.2">
      <c r="A48" s="2" t="s">
        <v>110</v>
      </c>
      <c r="B48" s="2" t="str">
        <f>VLOOKUP(batting_stats[[#This Row],[player_id]],'players '!A48:J135,2)</f>
        <v>Tristan Stubbs</v>
      </c>
      <c r="C48" s="2" t="str">
        <f>VLOOKUP(batting_stats[[#This Row],[player_name]],auction_data[#All],2,0)</f>
        <v>Delhi Capitals</v>
      </c>
      <c r="D48" s="2">
        <f>VLOOKUP(batting_stats[[#This Row],[team]],Teams!$A$3:$E$11,5,0)</f>
        <v>74</v>
      </c>
      <c r="E48" s="2">
        <v>3060</v>
      </c>
      <c r="F48" s="2">
        <v>2434</v>
      </c>
      <c r="G48" s="19">
        <f>(batting_stats[[#This Row],[runs]])*100/(batting_stats[[#This Row],[balls]])</f>
        <v>125.7189811010682</v>
      </c>
      <c r="H48" s="19">
        <f>batting_stats[[#This Row],[runs]]/batting_stats[[#This Row],[matches_played]]</f>
        <v>41.351351351351354</v>
      </c>
      <c r="I48" s="2">
        <v>259</v>
      </c>
      <c r="J48" s="2">
        <v>169</v>
      </c>
    </row>
    <row r="49" spans="1:10" x14ac:dyDescent="0.2">
      <c r="A49" s="2" t="s">
        <v>116</v>
      </c>
      <c r="B49" s="2" t="str">
        <f>VLOOKUP(batting_stats[[#This Row],[player_id]],'players '!A49:J136,2)</f>
        <v>Ishant Sharma</v>
      </c>
      <c r="C49" s="2" t="str">
        <f>VLOOKUP(batting_stats[[#This Row],[player_name]],auction_data[#All],2,0)</f>
        <v>Delhi Capitals</v>
      </c>
      <c r="D49" s="2">
        <f>VLOOKUP(batting_stats[[#This Row],[team]],Teams!$A$3:$E$11,5,0)</f>
        <v>74</v>
      </c>
      <c r="E49" s="2">
        <v>85</v>
      </c>
      <c r="F49" s="2">
        <v>68</v>
      </c>
      <c r="G49" s="19">
        <f>(batting_stats[[#This Row],[runs]])*100/(batting_stats[[#This Row],[balls]])</f>
        <v>125</v>
      </c>
      <c r="H49" s="19">
        <f>batting_stats[[#This Row],[runs]]/batting_stats[[#This Row],[matches_played]]</f>
        <v>1.1486486486486487</v>
      </c>
      <c r="I49" s="2">
        <v>5</v>
      </c>
      <c r="J49" s="2">
        <v>3</v>
      </c>
    </row>
    <row r="50" spans="1:10" x14ac:dyDescent="0.2">
      <c r="A50" s="2" t="s">
        <v>118</v>
      </c>
      <c r="B50" s="2" t="str">
        <f>VLOOKUP(batting_stats[[#This Row],[player_id]],'players '!A50:J137,2)</f>
        <v>Abishek Porel</v>
      </c>
      <c r="C50" s="2" t="str">
        <f>VLOOKUP(batting_stats[[#This Row],[player_name]],auction_data[#All],2,0)</f>
        <v>Delhi Capitals</v>
      </c>
      <c r="D50" s="2">
        <f>VLOOKUP(batting_stats[[#This Row],[team]],Teams!$A$3:$E$11,5,0)</f>
        <v>74</v>
      </c>
      <c r="E50" s="2">
        <v>2708</v>
      </c>
      <c r="F50" s="2">
        <v>2085</v>
      </c>
      <c r="G50" s="19">
        <f>(batting_stats[[#This Row],[runs]])*100/(batting_stats[[#This Row],[balls]])</f>
        <v>129.88009592326139</v>
      </c>
      <c r="H50" s="19">
        <f>batting_stats[[#This Row],[runs]]/batting_stats[[#This Row],[matches_played]]</f>
        <v>36.594594594594597</v>
      </c>
      <c r="I50" s="2">
        <v>232</v>
      </c>
      <c r="J50" s="2">
        <v>154</v>
      </c>
    </row>
    <row r="51" spans="1:10" x14ac:dyDescent="0.2">
      <c r="A51" s="2" t="s">
        <v>120</v>
      </c>
      <c r="B51" s="2" t="str">
        <f>VLOOKUP(batting_stats[[#This Row],[player_id]],'players '!A51:J138,2)</f>
        <v>Sanju Samson</v>
      </c>
      <c r="C51" s="2" t="str">
        <f>VLOOKUP(batting_stats[[#This Row],[player_name]],auction_data[#All],2,0)</f>
        <v>Rajasthan Royals</v>
      </c>
      <c r="D51" s="2">
        <f>VLOOKUP(batting_stats[[#This Row],[team]],Teams!$A$3:$E$11,5,0)</f>
        <v>56</v>
      </c>
      <c r="E51" s="2">
        <v>823</v>
      </c>
      <c r="F51" s="2">
        <v>641</v>
      </c>
      <c r="G51" s="19">
        <f>(batting_stats[[#This Row],[runs]])*100/(batting_stats[[#This Row],[balls]])</f>
        <v>128.393135725429</v>
      </c>
      <c r="H51" s="19">
        <f>batting_stats[[#This Row],[runs]]/batting_stats[[#This Row],[matches_played]]</f>
        <v>14.696428571428571</v>
      </c>
      <c r="I51" s="2">
        <v>98</v>
      </c>
      <c r="J51" s="2">
        <v>49</v>
      </c>
    </row>
    <row r="52" spans="1:10" x14ac:dyDescent="0.2">
      <c r="A52" s="2" t="s">
        <v>122</v>
      </c>
      <c r="B52" s="2" t="str">
        <f>VLOOKUP(batting_stats[[#This Row],[player_id]],'players '!A52:J139,2)</f>
        <v>Yashasvi Jaiswal</v>
      </c>
      <c r="C52" s="2" t="str">
        <f>VLOOKUP(batting_stats[[#This Row],[player_name]],auction_data[#All],2,0)</f>
        <v>Rajasthan Royals</v>
      </c>
      <c r="D52" s="2">
        <f>VLOOKUP(batting_stats[[#This Row],[team]],Teams!$A$3:$E$11,5,0)</f>
        <v>56</v>
      </c>
      <c r="E52" s="2">
        <v>5225</v>
      </c>
      <c r="F52" s="2">
        <v>4097</v>
      </c>
      <c r="G52" s="19">
        <f>(batting_stats[[#This Row],[runs]])*100/(batting_stats[[#This Row],[balls]])</f>
        <v>127.53234073712473</v>
      </c>
      <c r="H52" s="19">
        <f>batting_stats[[#This Row],[runs]]/batting_stats[[#This Row],[matches_played]]</f>
        <v>93.303571428571431</v>
      </c>
      <c r="I52" s="2">
        <v>454</v>
      </c>
      <c r="J52" s="2">
        <v>260</v>
      </c>
    </row>
    <row r="53" spans="1:10" x14ac:dyDescent="0.2">
      <c r="A53" s="2" t="s">
        <v>124</v>
      </c>
      <c r="B53" s="2" t="str">
        <f>VLOOKUP(batting_stats[[#This Row],[player_id]],'players '!A53:J140,2)</f>
        <v>Jos Buttler</v>
      </c>
      <c r="C53" s="2" t="str">
        <f>VLOOKUP(batting_stats[[#This Row],[player_name]],auction_data[#All],2,0)</f>
        <v>Rajasthan Royals</v>
      </c>
      <c r="D53" s="2">
        <f>VLOOKUP(batting_stats[[#This Row],[team]],Teams!$A$3:$E$11,5,0)</f>
        <v>56</v>
      </c>
      <c r="E53" s="2">
        <v>1011</v>
      </c>
      <c r="F53" s="2">
        <v>815</v>
      </c>
      <c r="G53" s="19">
        <f>(batting_stats[[#This Row],[runs]])*100/(batting_stats[[#This Row],[balls]])</f>
        <v>124.04907975460122</v>
      </c>
      <c r="H53" s="19">
        <f>batting_stats[[#This Row],[runs]]/batting_stats[[#This Row],[matches_played]]</f>
        <v>18.053571428571427</v>
      </c>
      <c r="I53" s="2">
        <v>95</v>
      </c>
      <c r="J53" s="2">
        <v>54</v>
      </c>
    </row>
    <row r="54" spans="1:10" x14ac:dyDescent="0.2">
      <c r="A54" s="2" t="s">
        <v>126</v>
      </c>
      <c r="B54" s="2" t="str">
        <f>VLOOKUP(batting_stats[[#This Row],[player_id]],'players '!A54:J141,2)</f>
        <v>Riyan Parag</v>
      </c>
      <c r="C54" s="2" t="str">
        <f>VLOOKUP(batting_stats[[#This Row],[player_name]],auction_data[#All],2,0)</f>
        <v>Rajasthan Royals</v>
      </c>
      <c r="D54" s="2">
        <f>VLOOKUP(batting_stats[[#This Row],[team]],Teams!$A$3:$E$11,5,0)</f>
        <v>56</v>
      </c>
      <c r="E54" s="2">
        <v>5623</v>
      </c>
      <c r="F54" s="2">
        <v>4334</v>
      </c>
      <c r="G54" s="19">
        <f>(batting_stats[[#This Row],[runs]])*100/(batting_stats[[#This Row],[balls]])</f>
        <v>129.74157821873558</v>
      </c>
      <c r="H54" s="19">
        <f>batting_stats[[#This Row],[runs]]/batting_stats[[#This Row],[matches_played]]</f>
        <v>100.41071428571429</v>
      </c>
      <c r="I54" s="2">
        <v>489</v>
      </c>
      <c r="J54" s="2">
        <v>177</v>
      </c>
    </row>
    <row r="55" spans="1:10" x14ac:dyDescent="0.2">
      <c r="A55" s="2" t="s">
        <v>128</v>
      </c>
      <c r="B55" s="2" t="str">
        <f>VLOOKUP(batting_stats[[#This Row],[player_id]],'players '!A55:J142,2)</f>
        <v>Yuzvendra Chahal</v>
      </c>
      <c r="C55" s="2" t="str">
        <f>VLOOKUP(batting_stats[[#This Row],[player_name]],auction_data[#All],2,0)</f>
        <v>Rajasthan Royals</v>
      </c>
      <c r="D55" s="2">
        <f>VLOOKUP(batting_stats[[#This Row],[team]],Teams!$A$3:$E$11,5,0)</f>
        <v>56</v>
      </c>
      <c r="E55" s="2">
        <v>319</v>
      </c>
      <c r="F55" s="2">
        <v>308</v>
      </c>
      <c r="G55" s="19">
        <f>(batting_stats[[#This Row],[runs]])*100/(batting_stats[[#This Row],[balls]])</f>
        <v>103.57142857142857</v>
      </c>
      <c r="H55" s="19">
        <f>batting_stats[[#This Row],[runs]]/batting_stats[[#This Row],[matches_played]]</f>
        <v>5.6964285714285712</v>
      </c>
      <c r="I55" s="2">
        <v>22</v>
      </c>
      <c r="J55" s="2">
        <v>12</v>
      </c>
    </row>
    <row r="56" spans="1:10" x14ac:dyDescent="0.2">
      <c r="A56" s="2" t="s">
        <v>130</v>
      </c>
      <c r="B56" s="2" t="str">
        <f>VLOOKUP(batting_stats[[#This Row],[player_id]],'players '!A56:J143,2)</f>
        <v>Trent Boult</v>
      </c>
      <c r="C56" s="2" t="str">
        <f>VLOOKUP(batting_stats[[#This Row],[player_name]],auction_data[#All],2,0)</f>
        <v>Rajasthan Royals</v>
      </c>
      <c r="D56" s="2">
        <f>VLOOKUP(batting_stats[[#This Row],[team]],Teams!$A$3:$E$11,5,0)</f>
        <v>56</v>
      </c>
      <c r="E56" s="2">
        <v>105</v>
      </c>
      <c r="F56" s="2">
        <v>92</v>
      </c>
      <c r="G56" s="19">
        <f>(batting_stats[[#This Row],[runs]])*100/(batting_stats[[#This Row],[balls]])</f>
        <v>114.1304347826087</v>
      </c>
      <c r="H56" s="19">
        <f>batting_stats[[#This Row],[runs]]/batting_stats[[#This Row],[matches_played]]</f>
        <v>1.875</v>
      </c>
      <c r="I56" s="2">
        <v>7</v>
      </c>
      <c r="J56" s="2">
        <v>4</v>
      </c>
    </row>
    <row r="57" spans="1:10" x14ac:dyDescent="0.2">
      <c r="A57" s="2" t="s">
        <v>132</v>
      </c>
      <c r="B57" s="2" t="str">
        <f>VLOOKUP(batting_stats[[#This Row],[player_id]],'players '!A57:J144,2)</f>
        <v>Ravichandran Ashwin</v>
      </c>
      <c r="C57" s="2" t="str">
        <f>VLOOKUP(batting_stats[[#This Row],[player_name]],auction_data[#All],2,0)</f>
        <v>Rajasthan Royals</v>
      </c>
      <c r="D57" s="2">
        <f>VLOOKUP(batting_stats[[#This Row],[team]],Teams!$A$3:$E$11,5,0)</f>
        <v>56</v>
      </c>
      <c r="E57" s="2">
        <v>6197</v>
      </c>
      <c r="F57" s="2">
        <v>4568</v>
      </c>
      <c r="G57" s="19">
        <f>(batting_stats[[#This Row],[runs]])*100/(batting_stats[[#This Row],[balls]])</f>
        <v>135.66112084063047</v>
      </c>
      <c r="H57" s="19">
        <f>batting_stats[[#This Row],[runs]]/batting_stats[[#This Row],[matches_played]]</f>
        <v>110.66071428571429</v>
      </c>
      <c r="I57" s="2">
        <v>609</v>
      </c>
      <c r="J57" s="2">
        <v>365</v>
      </c>
    </row>
    <row r="58" spans="1:10" x14ac:dyDescent="0.2">
      <c r="A58" s="2" t="s">
        <v>134</v>
      </c>
      <c r="B58" s="2" t="str">
        <f>VLOOKUP(batting_stats[[#This Row],[player_id]],'players '!A58:J145,2)</f>
        <v>Dhruv Jurel</v>
      </c>
      <c r="C58" s="2" t="str">
        <f>VLOOKUP(batting_stats[[#This Row],[player_name]],auction_data[#All],2,0)</f>
        <v>Rajasthan Royals</v>
      </c>
      <c r="D58" s="2">
        <f>VLOOKUP(batting_stats[[#This Row],[team]],Teams!$A$3:$E$11,5,0)</f>
        <v>56</v>
      </c>
      <c r="E58" s="2">
        <v>4292</v>
      </c>
      <c r="F58" s="2">
        <v>3053</v>
      </c>
      <c r="G58" s="19">
        <f>(batting_stats[[#This Row],[runs]])*100/(batting_stats[[#This Row],[balls]])</f>
        <v>140.58303308221423</v>
      </c>
      <c r="H58" s="19">
        <f>batting_stats[[#This Row],[runs]]/batting_stats[[#This Row],[matches_played]]</f>
        <v>76.642857142857139</v>
      </c>
      <c r="I58" s="2">
        <v>427</v>
      </c>
      <c r="J58" s="2">
        <v>245</v>
      </c>
    </row>
    <row r="59" spans="1:10" x14ac:dyDescent="0.2">
      <c r="A59" s="2" t="s">
        <v>138</v>
      </c>
      <c r="B59" s="2" t="str">
        <f>VLOOKUP(batting_stats[[#This Row],[player_id]],'players '!A59:J146,2)</f>
        <v>Shimron Hetmyer</v>
      </c>
      <c r="C59" s="2" t="str">
        <f>VLOOKUP(batting_stats[[#This Row],[player_name]],auction_data[#All],2,0)</f>
        <v>Rajasthan Royals</v>
      </c>
      <c r="D59" s="2">
        <f>VLOOKUP(batting_stats[[#This Row],[team]],Teams!$A$3:$E$11,5,0)</f>
        <v>56</v>
      </c>
      <c r="E59" s="2">
        <v>1833</v>
      </c>
      <c r="F59" s="2">
        <v>1429</v>
      </c>
      <c r="G59" s="19">
        <f>(batting_stats[[#This Row],[runs]])*100/(batting_stats[[#This Row],[balls]])</f>
        <v>128.27151854443667</v>
      </c>
      <c r="H59" s="19">
        <f>batting_stats[[#This Row],[runs]]/batting_stats[[#This Row],[matches_played]]</f>
        <v>32.732142857142854</v>
      </c>
      <c r="I59" s="2">
        <v>193</v>
      </c>
      <c r="J59" s="2">
        <v>85</v>
      </c>
    </row>
    <row r="60" spans="1:10" x14ac:dyDescent="0.2">
      <c r="A60" s="2" t="s">
        <v>142</v>
      </c>
      <c r="B60" s="2" t="str">
        <f>VLOOKUP(batting_stats[[#This Row],[player_id]],'players '!A60:J147,2)</f>
        <v>Pat Cummins</v>
      </c>
      <c r="C60" s="2" t="str">
        <f>VLOOKUP(batting_stats[[#This Row],[player_name]],auction_data[#All],2,0)</f>
        <v>Sunrisers Hyderabad</v>
      </c>
      <c r="D60" s="2">
        <f>VLOOKUP(batting_stats[[#This Row],[team]],Teams!$A$3:$E$11,5,0)</f>
        <v>67</v>
      </c>
      <c r="E60" s="2">
        <v>5759</v>
      </c>
      <c r="F60" s="2">
        <v>4333</v>
      </c>
      <c r="G60" s="19">
        <f>(batting_stats[[#This Row],[runs]])*100/(batting_stats[[#This Row],[balls]])</f>
        <v>132.91022386337411</v>
      </c>
      <c r="H60" s="19">
        <f>batting_stats[[#This Row],[runs]]/batting_stats[[#This Row],[matches_played]]</f>
        <v>85.955223880597018</v>
      </c>
      <c r="I60" s="2">
        <v>643</v>
      </c>
      <c r="J60" s="2">
        <v>192</v>
      </c>
    </row>
    <row r="61" spans="1:10" x14ac:dyDescent="0.2">
      <c r="A61" s="2" t="s">
        <v>144</v>
      </c>
      <c r="B61" s="2" t="str">
        <f>VLOOKUP(batting_stats[[#This Row],[player_id]],'players '!A61:J148,2)</f>
        <v>Travis Head</v>
      </c>
      <c r="C61" s="2" t="str">
        <f>VLOOKUP(batting_stats[[#This Row],[player_name]],auction_data[#All],2,0)</f>
        <v>Sunrisers Hyderabad</v>
      </c>
      <c r="D61" s="2">
        <f>VLOOKUP(batting_stats[[#This Row],[team]],Teams!$A$3:$E$11,5,0)</f>
        <v>67</v>
      </c>
      <c r="E61" s="2">
        <v>4499</v>
      </c>
      <c r="F61" s="2">
        <v>3068</v>
      </c>
      <c r="G61" s="19">
        <f>(batting_stats[[#This Row],[runs]])*100/(batting_stats[[#This Row],[balls]])</f>
        <v>146.64276401564538</v>
      </c>
      <c r="H61" s="19">
        <f>batting_stats[[#This Row],[runs]]/batting_stats[[#This Row],[matches_played]]</f>
        <v>67.149253731343279</v>
      </c>
      <c r="I61" s="2">
        <v>434</v>
      </c>
      <c r="J61" s="2">
        <v>246</v>
      </c>
    </row>
    <row r="62" spans="1:10" x14ac:dyDescent="0.2">
      <c r="A62" s="2" t="s">
        <v>146</v>
      </c>
      <c r="B62" s="2" t="str">
        <f>VLOOKUP(batting_stats[[#This Row],[player_id]],'players '!A62:J149,2)</f>
        <v>Abhishek Sharma</v>
      </c>
      <c r="C62" s="2" t="str">
        <f>VLOOKUP(batting_stats[[#This Row],[player_name]],auction_data[#All],2,0)</f>
        <v>Sunrisers Hyderabad</v>
      </c>
      <c r="D62" s="2">
        <f>VLOOKUP(batting_stats[[#This Row],[team]],Teams!$A$3:$E$11,5,0)</f>
        <v>67</v>
      </c>
      <c r="E62" s="2">
        <v>4066</v>
      </c>
      <c r="F62" s="2">
        <v>3069</v>
      </c>
      <c r="G62" s="19">
        <f>(batting_stats[[#This Row],[runs]])*100/(batting_stats[[#This Row],[balls]])</f>
        <v>132.48615184099054</v>
      </c>
      <c r="H62" s="19">
        <f>batting_stats[[#This Row],[runs]]/batting_stats[[#This Row],[matches_played]]</f>
        <v>60.686567164179102</v>
      </c>
      <c r="I62" s="2">
        <v>340</v>
      </c>
      <c r="J62" s="2">
        <v>174</v>
      </c>
    </row>
    <row r="63" spans="1:10" x14ac:dyDescent="0.2">
      <c r="A63" s="2" t="s">
        <v>148</v>
      </c>
      <c r="B63" s="2" t="str">
        <f>VLOOKUP(batting_stats[[#This Row],[player_id]],'players '!A63:J150,2)</f>
        <v>Heinrich Klaasen</v>
      </c>
      <c r="C63" s="2" t="str">
        <f>VLOOKUP(batting_stats[[#This Row],[player_name]],auction_data[#All],2,0)</f>
        <v>Sunrisers Hyderabad</v>
      </c>
      <c r="D63" s="2">
        <f>VLOOKUP(batting_stats[[#This Row],[team]],Teams!$A$3:$E$11,5,0)</f>
        <v>67</v>
      </c>
      <c r="E63" s="2">
        <v>4685</v>
      </c>
      <c r="F63" s="2">
        <v>3839</v>
      </c>
      <c r="G63" s="19">
        <f>(batting_stats[[#This Row],[runs]])*100/(batting_stats[[#This Row],[balls]])</f>
        <v>122.03698879916645</v>
      </c>
      <c r="H63" s="19">
        <f>batting_stats[[#This Row],[runs]]/batting_stats[[#This Row],[matches_played]]</f>
        <v>69.925373134328353</v>
      </c>
      <c r="I63" s="2">
        <v>530</v>
      </c>
      <c r="J63" s="2">
        <v>153</v>
      </c>
    </row>
    <row r="64" spans="1:10" x14ac:dyDescent="0.2">
      <c r="A64" s="2" t="s">
        <v>152</v>
      </c>
      <c r="B64" s="2" t="str">
        <f>VLOOKUP(batting_stats[[#This Row],[player_id]],'players '!A64:J151,2)</f>
        <v>T Natarajan</v>
      </c>
      <c r="C64" s="2" t="str">
        <f>VLOOKUP(batting_stats[[#This Row],[player_name]],auction_data[#All],2,0)</f>
        <v>Sunrisers Hyderabad</v>
      </c>
      <c r="D64" s="2">
        <f>VLOOKUP(batting_stats[[#This Row],[team]],Teams!$A$3:$E$11,5,0)</f>
        <v>67</v>
      </c>
      <c r="E64" s="2">
        <v>337</v>
      </c>
      <c r="F64" s="2">
        <v>288</v>
      </c>
      <c r="G64" s="19">
        <f>(batting_stats[[#This Row],[runs]])*100/(batting_stats[[#This Row],[balls]])</f>
        <v>117.01388888888889</v>
      </c>
      <c r="H64" s="19">
        <f>batting_stats[[#This Row],[runs]]/batting_stats[[#This Row],[matches_played]]</f>
        <v>5.0298507462686564</v>
      </c>
      <c r="I64" s="2">
        <v>23</v>
      </c>
      <c r="J64" s="2">
        <v>13</v>
      </c>
    </row>
    <row r="65" spans="1:10" x14ac:dyDescent="0.2">
      <c r="A65" s="2" t="s">
        <v>154</v>
      </c>
      <c r="B65" s="2" t="str">
        <f>VLOOKUP(batting_stats[[#This Row],[player_id]],'players '!A65:J152,2)</f>
        <v>Nitish Kumar Reddy</v>
      </c>
      <c r="C65" s="2" t="str">
        <f>VLOOKUP(batting_stats[[#This Row],[player_name]],auction_data[#All],2,0)</f>
        <v>Sunrisers Hyderabad</v>
      </c>
      <c r="D65" s="2">
        <f>VLOOKUP(batting_stats[[#This Row],[team]],Teams!$A$3:$E$11,5,0)</f>
        <v>67</v>
      </c>
      <c r="E65" s="2">
        <v>4264</v>
      </c>
      <c r="F65" s="2">
        <v>2919</v>
      </c>
      <c r="G65" s="19">
        <f>(batting_stats[[#This Row],[runs]])*100/(batting_stats[[#This Row],[balls]])</f>
        <v>146.07742377526552</v>
      </c>
      <c r="H65" s="19">
        <f>batting_stats[[#This Row],[runs]]/batting_stats[[#This Row],[matches_played]]</f>
        <v>63.64179104477612</v>
      </c>
      <c r="I65" s="2">
        <v>464</v>
      </c>
      <c r="J65" s="2">
        <v>251</v>
      </c>
    </row>
    <row r="66" spans="1:10" x14ac:dyDescent="0.2">
      <c r="A66" s="2" t="s">
        <v>156</v>
      </c>
      <c r="B66" s="2" t="str">
        <f>VLOOKUP(batting_stats[[#This Row],[player_id]],'players '!A66:J153,2)</f>
        <v>Shahbaz Ahmed</v>
      </c>
      <c r="C66" s="2" t="str">
        <f>VLOOKUP(batting_stats[[#This Row],[player_name]],auction_data[#All],2,0)</f>
        <v>Sunrisers Hyderabad</v>
      </c>
      <c r="D66" s="2">
        <f>VLOOKUP(batting_stats[[#This Row],[team]],Teams!$A$3:$E$11,5,0)</f>
        <v>67</v>
      </c>
      <c r="E66" s="2">
        <v>4956</v>
      </c>
      <c r="F66" s="2">
        <v>3921</v>
      </c>
      <c r="G66" s="19">
        <f>(batting_stats[[#This Row],[runs]])*100/(batting_stats[[#This Row],[balls]])</f>
        <v>126.39632746748279</v>
      </c>
      <c r="H66" s="19">
        <f>batting_stats[[#This Row],[runs]]/batting_stats[[#This Row],[matches_played]]</f>
        <v>73.97014925373135</v>
      </c>
      <c r="I66" s="2">
        <v>526</v>
      </c>
      <c r="J66" s="2">
        <v>182</v>
      </c>
    </row>
    <row r="67" spans="1:10" x14ac:dyDescent="0.2">
      <c r="A67" s="2" t="s">
        <v>160</v>
      </c>
      <c r="B67" s="2" t="str">
        <f>VLOOKUP(batting_stats[[#This Row],[player_id]],'players '!A67:J154,2)</f>
        <v>Mayank Agarwal</v>
      </c>
      <c r="C67" s="2" t="str">
        <f>VLOOKUP(batting_stats[[#This Row],[player_name]],auction_data[#All],2,0)</f>
        <v>Sunrisers Hyderabad</v>
      </c>
      <c r="D67" s="2">
        <f>VLOOKUP(batting_stats[[#This Row],[team]],Teams!$A$3:$E$11,5,0)</f>
        <v>67</v>
      </c>
      <c r="E67" s="2">
        <v>5395</v>
      </c>
      <c r="F67" s="2">
        <v>3615</v>
      </c>
      <c r="G67" s="19">
        <f>(batting_stats[[#This Row],[runs]])*100/(batting_stats[[#This Row],[balls]])</f>
        <v>149.23928077455048</v>
      </c>
      <c r="H67" s="19">
        <f>batting_stats[[#This Row],[runs]]/batting_stats[[#This Row],[matches_played]]</f>
        <v>80.522388059701498</v>
      </c>
      <c r="I67" s="2">
        <v>608</v>
      </c>
      <c r="J67" s="2">
        <v>261</v>
      </c>
    </row>
    <row r="68" spans="1:10" x14ac:dyDescent="0.2">
      <c r="A68" s="2" t="s">
        <v>162</v>
      </c>
      <c r="B68" s="2" t="str">
        <f>VLOOKUP(batting_stats[[#This Row],[player_id]],'players '!A68:J155,2)</f>
        <v>Abdul Samad</v>
      </c>
      <c r="C68" s="2" t="str">
        <f>VLOOKUP(batting_stats[[#This Row],[player_name]],auction_data[#All],2,0)</f>
        <v>Sunrisers Hyderabad</v>
      </c>
      <c r="D68" s="2">
        <f>VLOOKUP(batting_stats[[#This Row],[team]],Teams!$A$3:$E$11,5,0)</f>
        <v>67</v>
      </c>
      <c r="E68" s="2">
        <v>6064</v>
      </c>
      <c r="F68" s="2">
        <v>4435</v>
      </c>
      <c r="G68" s="19">
        <f>(batting_stats[[#This Row],[runs]])*100/(batting_stats[[#This Row],[balls]])</f>
        <v>136.73055242390078</v>
      </c>
      <c r="H68" s="19">
        <f>batting_stats[[#This Row],[runs]]/batting_stats[[#This Row],[matches_played]]</f>
        <v>90.507462686567166</v>
      </c>
      <c r="I68" s="2">
        <v>632</v>
      </c>
      <c r="J68" s="2">
        <v>301</v>
      </c>
    </row>
    <row r="69" spans="1:10" x14ac:dyDescent="0.2">
      <c r="A69" s="2" t="s">
        <v>164</v>
      </c>
      <c r="B69" s="2" t="str">
        <f>VLOOKUP(batting_stats[[#This Row],[player_id]],'players '!A69:J156,2)</f>
        <v>KL Rahul</v>
      </c>
      <c r="C69" s="2" t="str">
        <f>VLOOKUP(batting_stats[[#This Row],[player_name]],auction_data[#All],2,0)</f>
        <v>Lucknow Super Giants</v>
      </c>
      <c r="D69" s="2">
        <f>VLOOKUP(batting_stats[[#This Row],[team]],Teams!$A$3:$E$11,5,0)</f>
        <v>61</v>
      </c>
      <c r="E69" s="2">
        <v>6480</v>
      </c>
      <c r="F69" s="2">
        <v>5061</v>
      </c>
      <c r="G69" s="19">
        <f>(batting_stats[[#This Row],[runs]])*100/(batting_stats[[#This Row],[balls]])</f>
        <v>128.03793716656787</v>
      </c>
      <c r="H69" s="19">
        <f>batting_stats[[#This Row],[runs]]/batting_stats[[#This Row],[matches_played]]</f>
        <v>106.22950819672131</v>
      </c>
      <c r="I69" s="2">
        <v>565</v>
      </c>
      <c r="J69" s="2">
        <v>331</v>
      </c>
    </row>
    <row r="70" spans="1:10" x14ac:dyDescent="0.2">
      <c r="A70" s="2" t="s">
        <v>166</v>
      </c>
      <c r="B70" s="2" t="str">
        <f>VLOOKUP(batting_stats[[#This Row],[player_id]],'players '!A70:J157,2)</f>
        <v>Nicholas Pooran</v>
      </c>
      <c r="C70" s="2" t="str">
        <f>VLOOKUP(batting_stats[[#This Row],[player_name]],auction_data[#All],2,0)</f>
        <v>Lucknow Super Giants</v>
      </c>
      <c r="D70" s="2">
        <f>VLOOKUP(batting_stats[[#This Row],[team]],Teams!$A$3:$E$11,5,0)</f>
        <v>61</v>
      </c>
      <c r="E70" s="2">
        <v>3331</v>
      </c>
      <c r="F70" s="2">
        <v>2256</v>
      </c>
      <c r="G70" s="19">
        <f>(batting_stats[[#This Row],[runs]])*100/(batting_stats[[#This Row],[balls]])</f>
        <v>147.65070921985816</v>
      </c>
      <c r="H70" s="19">
        <f>batting_stats[[#This Row],[runs]]/batting_stats[[#This Row],[matches_played]]</f>
        <v>54.606557377049178</v>
      </c>
      <c r="I70" s="2">
        <v>313</v>
      </c>
      <c r="J70" s="2">
        <v>118</v>
      </c>
    </row>
    <row r="71" spans="1:10" x14ac:dyDescent="0.2">
      <c r="A71" s="2" t="s">
        <v>168</v>
      </c>
      <c r="B71" s="2" t="str">
        <f>VLOOKUP(batting_stats[[#This Row],[player_id]],'players '!A71:J158,2)</f>
        <v>Marcus Stoinis</v>
      </c>
      <c r="C71" s="2" t="str">
        <f>VLOOKUP(batting_stats[[#This Row],[player_name]],auction_data[#All],2,0)</f>
        <v>Lucknow Super Giants</v>
      </c>
      <c r="D71" s="2">
        <f>VLOOKUP(batting_stats[[#This Row],[team]],Teams!$A$3:$E$11,5,0)</f>
        <v>61</v>
      </c>
      <c r="E71" s="2">
        <v>1973</v>
      </c>
      <c r="F71" s="2">
        <v>1440</v>
      </c>
      <c r="G71" s="19">
        <f>(batting_stats[[#This Row],[runs]])*100/(batting_stats[[#This Row],[balls]])</f>
        <v>137.01388888888889</v>
      </c>
      <c r="H71" s="19">
        <f>batting_stats[[#This Row],[runs]]/batting_stats[[#This Row],[matches_played]]</f>
        <v>32.344262295081968</v>
      </c>
      <c r="I71" s="2">
        <v>189</v>
      </c>
      <c r="J71" s="2">
        <v>67</v>
      </c>
    </row>
    <row r="72" spans="1:10" x14ac:dyDescent="0.2">
      <c r="A72" s="2" t="s">
        <v>170</v>
      </c>
      <c r="B72" s="2" t="str">
        <f>VLOOKUP(batting_stats[[#This Row],[player_id]],'players '!A72:J159,2)</f>
        <v>Ravi Bishnoi</v>
      </c>
      <c r="C72" s="2" t="str">
        <f>VLOOKUP(batting_stats[[#This Row],[player_name]],auction_data[#All],2,0)</f>
        <v>Lucknow Super Giants</v>
      </c>
      <c r="D72" s="2">
        <f>VLOOKUP(batting_stats[[#This Row],[team]],Teams!$A$3:$E$11,5,0)</f>
        <v>61</v>
      </c>
      <c r="E72" s="2">
        <v>242</v>
      </c>
      <c r="F72" s="2">
        <v>214</v>
      </c>
      <c r="G72" s="19">
        <f>(batting_stats[[#This Row],[runs]])*100/(batting_stats[[#This Row],[balls]])</f>
        <v>113.08411214953271</v>
      </c>
      <c r="H72" s="19">
        <f>batting_stats[[#This Row],[runs]]/batting_stats[[#This Row],[matches_played]]</f>
        <v>3.9672131147540983</v>
      </c>
      <c r="I72" s="2">
        <v>16</v>
      </c>
      <c r="J72" s="2">
        <v>9</v>
      </c>
    </row>
    <row r="73" spans="1:10" x14ac:dyDescent="0.2">
      <c r="A73" s="2" t="s">
        <v>172</v>
      </c>
      <c r="B73" s="2" t="str">
        <f>VLOOKUP(batting_stats[[#This Row],[player_id]],'players '!A73:J160,2)</f>
        <v>Quinton de Kock</v>
      </c>
      <c r="C73" s="2" t="str">
        <f>VLOOKUP(batting_stats[[#This Row],[player_name]],auction_data[#All],2,0)</f>
        <v>Lucknow Super Giants</v>
      </c>
      <c r="D73" s="2">
        <f>VLOOKUP(batting_stats[[#This Row],[team]],Teams!$A$3:$E$11,5,0)</f>
        <v>61</v>
      </c>
      <c r="E73" s="2">
        <v>3457</v>
      </c>
      <c r="F73" s="2">
        <v>2412</v>
      </c>
      <c r="G73" s="19">
        <f>(batting_stats[[#This Row],[runs]])*100/(batting_stats[[#This Row],[balls]])</f>
        <v>143.32504145936983</v>
      </c>
      <c r="H73" s="19">
        <f>batting_stats[[#This Row],[runs]]/batting_stats[[#This Row],[matches_played]]</f>
        <v>56.672131147540981</v>
      </c>
      <c r="I73" s="2">
        <v>355</v>
      </c>
      <c r="J73" s="2">
        <v>112</v>
      </c>
    </row>
    <row r="74" spans="1:10" x14ac:dyDescent="0.2">
      <c r="A74" s="2" t="s">
        <v>174</v>
      </c>
      <c r="B74" s="2" t="str">
        <f>VLOOKUP(batting_stats[[#This Row],[player_id]],'players '!A74:J161,2)</f>
        <v>Ayush Badoni</v>
      </c>
      <c r="C74" s="2" t="str">
        <f>VLOOKUP(batting_stats[[#This Row],[player_name]],auction_data[#All],2,0)</f>
        <v>Lucknow Super Giants</v>
      </c>
      <c r="D74" s="2">
        <f>VLOOKUP(batting_stats[[#This Row],[team]],Teams!$A$3:$E$11,5,0)</f>
        <v>61</v>
      </c>
      <c r="E74" s="2">
        <v>1230</v>
      </c>
      <c r="F74" s="2">
        <v>986</v>
      </c>
      <c r="G74" s="19">
        <f>(batting_stats[[#This Row],[runs]])*100/(batting_stats[[#This Row],[balls]])</f>
        <v>124.74645030425964</v>
      </c>
      <c r="H74" s="19">
        <f>batting_stats[[#This Row],[runs]]/batting_stats[[#This Row],[matches_played]]</f>
        <v>20.16393442622951</v>
      </c>
      <c r="I74" s="2">
        <v>135</v>
      </c>
      <c r="J74" s="2">
        <v>38</v>
      </c>
    </row>
    <row r="75" spans="1:10" x14ac:dyDescent="0.2">
      <c r="A75" s="2" t="s">
        <v>176</v>
      </c>
      <c r="B75" s="2" t="str">
        <f>VLOOKUP(batting_stats[[#This Row],[player_id]],'players '!A75:J162,2)</f>
        <v>Krunal Pandya</v>
      </c>
      <c r="C75" s="2" t="str">
        <f>VLOOKUP(batting_stats[[#This Row],[player_name]],auction_data[#All],2,0)</f>
        <v>Lucknow Super Giants</v>
      </c>
      <c r="D75" s="2">
        <f>VLOOKUP(batting_stats[[#This Row],[team]],Teams!$A$3:$E$11,5,0)</f>
        <v>61</v>
      </c>
      <c r="E75" s="2">
        <v>1468</v>
      </c>
      <c r="F75" s="2">
        <v>1145</v>
      </c>
      <c r="G75" s="19">
        <f>(batting_stats[[#This Row],[runs]])*100/(batting_stats[[#This Row],[balls]])</f>
        <v>128.20960698689956</v>
      </c>
      <c r="H75" s="19">
        <f>batting_stats[[#This Row],[runs]]/batting_stats[[#This Row],[matches_played]]</f>
        <v>24.065573770491802</v>
      </c>
      <c r="I75" s="2">
        <v>156</v>
      </c>
      <c r="J75" s="2">
        <v>65</v>
      </c>
    </row>
    <row r="76" spans="1:10" x14ac:dyDescent="0.2">
      <c r="A76" s="2" t="s">
        <v>178</v>
      </c>
      <c r="B76" s="2" t="str">
        <f>VLOOKUP(batting_stats[[#This Row],[player_id]],'players '!A76:J163,2)</f>
        <v>Naveen-ul-Haq</v>
      </c>
      <c r="C76" s="2" t="str">
        <f>VLOOKUP(batting_stats[[#This Row],[player_name]],auction_data[#All],2,0)</f>
        <v>Lucknow Super Giants</v>
      </c>
      <c r="D76" s="2">
        <f>VLOOKUP(batting_stats[[#This Row],[team]],Teams!$A$3:$E$11,5,0)</f>
        <v>61</v>
      </c>
      <c r="E76" s="2">
        <v>226</v>
      </c>
      <c r="F76" s="2">
        <v>200</v>
      </c>
      <c r="G76" s="19">
        <f>(batting_stats[[#This Row],[runs]])*100/(batting_stats[[#This Row],[balls]])</f>
        <v>113</v>
      </c>
      <c r="H76" s="19">
        <f>batting_stats[[#This Row],[runs]]/batting_stats[[#This Row],[matches_played]]</f>
        <v>3.7049180327868854</v>
      </c>
      <c r="I76" s="2">
        <v>15</v>
      </c>
      <c r="J76" s="2">
        <v>9</v>
      </c>
    </row>
    <row r="77" spans="1:10" x14ac:dyDescent="0.2">
      <c r="A77" s="2" t="s">
        <v>180</v>
      </c>
      <c r="B77" s="2" t="str">
        <f>VLOOKUP(batting_stats[[#This Row],[player_id]],'players '!A77:J164,2)</f>
        <v>Yash Thakur</v>
      </c>
      <c r="C77" s="2" t="str">
        <f>VLOOKUP(batting_stats[[#This Row],[player_name]],auction_data[#All],2,0)</f>
        <v>Lucknow Super Giants</v>
      </c>
      <c r="D77" s="2">
        <f>VLOOKUP(batting_stats[[#This Row],[team]],Teams!$A$3:$E$11,5,0)</f>
        <v>61</v>
      </c>
      <c r="E77" s="2">
        <v>207</v>
      </c>
      <c r="F77" s="2">
        <v>204</v>
      </c>
      <c r="G77" s="19">
        <f>(batting_stats[[#This Row],[runs]])*100/(batting_stats[[#This Row],[balls]])</f>
        <v>101.47058823529412</v>
      </c>
      <c r="H77" s="19">
        <f>batting_stats[[#This Row],[runs]]/batting_stats[[#This Row],[matches_played]]</f>
        <v>3.3934426229508197</v>
      </c>
      <c r="I77" s="2">
        <v>14</v>
      </c>
      <c r="J77" s="2">
        <v>8</v>
      </c>
    </row>
    <row r="78" spans="1:10" x14ac:dyDescent="0.2">
      <c r="A78" s="2" t="s">
        <v>184</v>
      </c>
      <c r="B78" s="2" t="str">
        <f>VLOOKUP(batting_stats[[#This Row],[player_id]],'players '!A78:J165,2)</f>
        <v>Devdutt Padikkal</v>
      </c>
      <c r="C78" s="2" t="str">
        <f>VLOOKUP(batting_stats[[#This Row],[player_name]],auction_data[#All],2,0)</f>
        <v>Lucknow Super Giants</v>
      </c>
      <c r="D78" s="2">
        <f>VLOOKUP(batting_stats[[#This Row],[team]],Teams!$A$3:$E$11,5,0)</f>
        <v>61</v>
      </c>
      <c r="E78" s="2">
        <v>3171</v>
      </c>
      <c r="F78" s="2">
        <v>2442</v>
      </c>
      <c r="G78" s="19">
        <f>(batting_stats[[#This Row],[runs]])*100/(batting_stats[[#This Row],[balls]])</f>
        <v>129.85257985257985</v>
      </c>
      <c r="H78" s="19">
        <f>batting_stats[[#This Row],[runs]]/batting_stats[[#This Row],[matches_played]]</f>
        <v>51.983606557377051</v>
      </c>
      <c r="I78" s="2">
        <v>254</v>
      </c>
      <c r="J78" s="2">
        <v>166</v>
      </c>
    </row>
  </sheetData>
  <mergeCells count="1">
    <mergeCell ref="A1:J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6E6EF-707F-F14A-9E73-44279170582E}">
  <dimension ref="A1:I52"/>
  <sheetViews>
    <sheetView workbookViewId="0">
      <selection activeCell="G38" sqref="G38"/>
    </sheetView>
  </sheetViews>
  <sheetFormatPr baseColWidth="10" defaultRowHeight="16" x14ac:dyDescent="0.2"/>
  <cols>
    <col min="1" max="1" width="15" bestFit="1" customWidth="1"/>
    <col min="2" max="2" width="18.5" bestFit="1" customWidth="1"/>
    <col min="3" max="3" width="24.5" bestFit="1" customWidth="1"/>
    <col min="4" max="4" width="21.83203125" customWidth="1"/>
    <col min="5" max="5" width="14.83203125" bestFit="1" customWidth="1"/>
    <col min="6" max="6" width="13.5" bestFit="1" customWidth="1"/>
    <col min="7" max="7" width="13.5" customWidth="1"/>
    <col min="8" max="8" width="11.33203125" bestFit="1" customWidth="1"/>
    <col min="9" max="9" width="20.6640625" bestFit="1" customWidth="1"/>
  </cols>
  <sheetData>
    <row r="1" spans="1:9" x14ac:dyDescent="0.2">
      <c r="A1" s="15" t="s">
        <v>468</v>
      </c>
      <c r="B1" s="15"/>
      <c r="C1" s="15"/>
      <c r="D1" s="15"/>
      <c r="E1" s="15"/>
      <c r="F1" s="15"/>
      <c r="G1" s="15"/>
      <c r="H1" s="15"/>
      <c r="I1" s="15"/>
    </row>
    <row r="2" spans="1:9" x14ac:dyDescent="0.2">
      <c r="A2" s="15"/>
      <c r="B2" s="15"/>
      <c r="C2" s="15"/>
      <c r="D2" s="15"/>
      <c r="E2" s="15"/>
      <c r="F2" s="15"/>
      <c r="G2" s="15"/>
      <c r="H2" s="15"/>
      <c r="I2" s="15"/>
    </row>
    <row r="3" spans="1:9" ht="19" x14ac:dyDescent="0.2">
      <c r="A3" s="16" t="s">
        <v>0</v>
      </c>
      <c r="B3" s="18" t="s">
        <v>1</v>
      </c>
      <c r="C3" s="18" t="s">
        <v>464</v>
      </c>
      <c r="D3" s="18" t="s">
        <v>478</v>
      </c>
      <c r="E3" s="18" t="s">
        <v>471</v>
      </c>
      <c r="F3" s="16" t="s">
        <v>461</v>
      </c>
      <c r="G3" s="18" t="s">
        <v>479</v>
      </c>
      <c r="H3" s="16" t="s">
        <v>462</v>
      </c>
      <c r="I3" s="16" t="s">
        <v>463</v>
      </c>
    </row>
    <row r="4" spans="1:9" x14ac:dyDescent="0.2">
      <c r="A4" s="10" t="s">
        <v>10</v>
      </c>
      <c r="B4" s="10" t="str">
        <f>VLOOKUP(bowling_stats[[#This Row],[player_id]],'players '!A4:J91,2)</f>
        <v>Jasprit Bumrah</v>
      </c>
      <c r="C4" s="10" t="str">
        <f>VLOOKUP(bowling_stats[[#This Row],[player_name]],auction_data[#All],2,0)</f>
        <v>Mumbai Indians</v>
      </c>
      <c r="D4" s="10">
        <f>VLOOKUP(bowling_stats[[#This Row],[team]],Teams!$A$3:$E$11,5,0)</f>
        <v>53</v>
      </c>
      <c r="E4" s="20">
        <f>(bowling_stats[[#This Row],[runs_conceded]])/bowling_stats[[#This Row],[overs]]</f>
        <v>8.6597938144329909</v>
      </c>
      <c r="F4" s="10">
        <v>72</v>
      </c>
      <c r="G4" s="25">
        <f>bowling_stats[[#This Row],[wickets]]/bowling_stats[[#This Row],[matches_played]]</f>
        <v>1.3584905660377358</v>
      </c>
      <c r="H4" s="10">
        <v>358.9</v>
      </c>
      <c r="I4" s="10">
        <v>3108</v>
      </c>
    </row>
    <row r="5" spans="1:9" x14ac:dyDescent="0.2">
      <c r="A5" s="10" t="s">
        <v>13</v>
      </c>
      <c r="B5" s="10" t="str">
        <f>VLOOKUP(bowling_stats[[#This Row],[player_id]],'players '!A5:J92,2)</f>
        <v>Hardik Pandya</v>
      </c>
      <c r="C5" s="10" t="str">
        <f>VLOOKUP(bowling_stats[[#This Row],[player_name]],auction_data[#All],2,0)</f>
        <v>Mumbai Indians</v>
      </c>
      <c r="D5" s="10">
        <f>VLOOKUP(bowling_stats[[#This Row],[team]],Teams!$A$3:$E$11,5,0)</f>
        <v>53</v>
      </c>
      <c r="E5" s="20">
        <f>(bowling_stats[[#This Row],[runs_conceded]])/bowling_stats[[#This Row],[overs]]</f>
        <v>7.6370246085011182</v>
      </c>
      <c r="F5" s="10">
        <v>89</v>
      </c>
      <c r="G5" s="25">
        <f>bowling_stats[[#This Row],[wickets]]/bowling_stats[[#This Row],[matches_played]]</f>
        <v>1.679245283018868</v>
      </c>
      <c r="H5" s="10">
        <v>357.6</v>
      </c>
      <c r="I5" s="10">
        <v>2731</v>
      </c>
    </row>
    <row r="6" spans="1:9" x14ac:dyDescent="0.2">
      <c r="A6" s="10" t="s">
        <v>24</v>
      </c>
      <c r="B6" s="10" t="str">
        <f>VLOOKUP(bowling_stats[[#This Row],[player_id]],'players '!A6:J93,2)</f>
        <v>Gerald Coetzee</v>
      </c>
      <c r="C6" s="10" t="str">
        <f>VLOOKUP(bowling_stats[[#This Row],[player_name]],auction_data[#All],2,0)</f>
        <v>Mumbai Indians</v>
      </c>
      <c r="D6" s="10">
        <f>VLOOKUP(bowling_stats[[#This Row],[team]],Teams!$A$3:$E$11,5,0)</f>
        <v>53</v>
      </c>
      <c r="E6" s="20">
        <f>(bowling_stats[[#This Row],[runs_conceded]])/bowling_stats[[#This Row],[overs]]</f>
        <v>7.2037728433876991</v>
      </c>
      <c r="F6" s="10">
        <v>144</v>
      </c>
      <c r="G6" s="25">
        <f>bowling_stats[[#This Row],[wickets]]/bowling_stats[[#This Row],[matches_played]]</f>
        <v>2.7169811320754715</v>
      </c>
      <c r="H6" s="10">
        <v>508.9</v>
      </c>
      <c r="I6" s="10">
        <v>3666</v>
      </c>
    </row>
    <row r="7" spans="1:9" x14ac:dyDescent="0.2">
      <c r="A7" s="10" t="s">
        <v>26</v>
      </c>
      <c r="B7" s="10" t="str">
        <f>VLOOKUP(bowling_stats[[#This Row],[player_id]],'players '!A7:J94,2)</f>
        <v>Piyush Chawla</v>
      </c>
      <c r="C7" s="10" t="str">
        <f>VLOOKUP(bowling_stats[[#This Row],[player_name]],auction_data[#All],2,0)</f>
        <v>Mumbai Indians</v>
      </c>
      <c r="D7" s="10">
        <f>VLOOKUP(bowling_stats[[#This Row],[team]],Teams!$A$3:$E$11,5,0)</f>
        <v>53</v>
      </c>
      <c r="E7" s="20">
        <f>(bowling_stats[[#This Row],[runs_conceded]])/bowling_stats[[#This Row],[overs]]</f>
        <v>7.9133323267401483</v>
      </c>
      <c r="F7" s="10">
        <v>140</v>
      </c>
      <c r="G7" s="25">
        <f>bowling_stats[[#This Row],[wickets]]/bowling_stats[[#This Row],[matches_played]]</f>
        <v>2.641509433962264</v>
      </c>
      <c r="H7" s="10">
        <v>662.3</v>
      </c>
      <c r="I7" s="10">
        <v>5241</v>
      </c>
    </row>
    <row r="8" spans="1:9" x14ac:dyDescent="0.2">
      <c r="A8" s="10" t="s">
        <v>28</v>
      </c>
      <c r="B8" s="10" t="str">
        <f>VLOOKUP(bowling_stats[[#This Row],[player_id]],'players '!A8:J95,2)</f>
        <v>Akash Madhwal</v>
      </c>
      <c r="C8" s="10" t="str">
        <f>VLOOKUP(bowling_stats[[#This Row],[player_name]],auction_data[#All],2,0)</f>
        <v>Mumbai Indians</v>
      </c>
      <c r="D8" s="10">
        <f>VLOOKUP(bowling_stats[[#This Row],[team]],Teams!$A$3:$E$11,5,0)</f>
        <v>53</v>
      </c>
      <c r="E8" s="20">
        <f>(bowling_stats[[#This Row],[runs_conceded]])/bowling_stats[[#This Row],[overs]]</f>
        <v>8.0677387914230021</v>
      </c>
      <c r="F8" s="10">
        <v>100</v>
      </c>
      <c r="G8" s="25">
        <f>bowling_stats[[#This Row],[wickets]]/bowling_stats[[#This Row],[matches_played]]</f>
        <v>1.8867924528301887</v>
      </c>
      <c r="H8" s="10">
        <v>410.4</v>
      </c>
      <c r="I8" s="10">
        <v>3311</v>
      </c>
    </row>
    <row r="9" spans="1:9" x14ac:dyDescent="0.2">
      <c r="A9" s="10" t="s">
        <v>30</v>
      </c>
      <c r="B9" s="10" t="str">
        <f>VLOOKUP(bowling_stats[[#This Row],[player_id]],'players '!A9:J96,2)</f>
        <v>Naman Dhir</v>
      </c>
      <c r="C9" s="10" t="str">
        <f>VLOOKUP(bowling_stats[[#This Row],[player_name]],auction_data[#All],2,0)</f>
        <v>Mumbai Indians</v>
      </c>
      <c r="D9" s="10">
        <f>VLOOKUP(bowling_stats[[#This Row],[team]],Teams!$A$3:$E$11,5,0)</f>
        <v>53</v>
      </c>
      <c r="E9" s="20">
        <f>(bowling_stats[[#This Row],[runs_conceded]])/bowling_stats[[#This Row],[overs]]</f>
        <v>7.5706573515401718</v>
      </c>
      <c r="F9" s="10">
        <v>76</v>
      </c>
      <c r="G9" s="25">
        <f>bowling_stats[[#This Row],[wickets]]/bowling_stats[[#This Row],[matches_played]]</f>
        <v>1.4339622641509433</v>
      </c>
      <c r="H9" s="10">
        <v>314.89999999999998</v>
      </c>
      <c r="I9" s="10">
        <v>2384</v>
      </c>
    </row>
    <row r="10" spans="1:9" x14ac:dyDescent="0.2">
      <c r="A10" s="10" t="s">
        <v>36</v>
      </c>
      <c r="B10" s="10" t="str">
        <f>VLOOKUP(bowling_stats[[#This Row],[player_id]],'players '!A10:J97,2)</f>
        <v>Ravindra Jadeja</v>
      </c>
      <c r="C10" s="10" t="str">
        <f>VLOOKUP(bowling_stats[[#This Row],[player_name]],auction_data[#All],2,0)</f>
        <v>Chennai Super Kings</v>
      </c>
      <c r="D10" s="10">
        <f>VLOOKUP(bowling_stats[[#This Row],[team]],Teams!$A$3:$E$11,5,0)</f>
        <v>72</v>
      </c>
      <c r="E10" s="20">
        <f>(bowling_stats[[#This Row],[runs_conceded]])/bowling_stats[[#This Row],[overs]]</f>
        <v>7.3594212430121662</v>
      </c>
      <c r="F10" s="10">
        <v>166</v>
      </c>
      <c r="G10" s="25">
        <f>bowling_stats[[#This Row],[wickets]]/bowling_stats[[#This Row],[matches_played]]</f>
        <v>2.3055555555555554</v>
      </c>
      <c r="H10" s="10">
        <v>608.20000000000005</v>
      </c>
      <c r="I10" s="10">
        <v>4476</v>
      </c>
    </row>
    <row r="11" spans="1:9" x14ac:dyDescent="0.2">
      <c r="A11" s="10" t="s">
        <v>38</v>
      </c>
      <c r="B11" s="10" t="str">
        <f>VLOOKUP(bowling_stats[[#This Row],[player_id]],'players '!A11:J98,2)</f>
        <v>Shivam Dube</v>
      </c>
      <c r="C11" s="10" t="str">
        <f>VLOOKUP(bowling_stats[[#This Row],[player_name]],auction_data[#All],2,0)</f>
        <v>Chennai Super Kings</v>
      </c>
      <c r="D11" s="10">
        <f>VLOOKUP(bowling_stats[[#This Row],[team]],Teams!$A$3:$E$11,5,0)</f>
        <v>72</v>
      </c>
      <c r="E11" s="20">
        <f>(bowling_stats[[#This Row],[runs_conceded]])/bowling_stats[[#This Row],[overs]]</f>
        <v>8.2443531827515404</v>
      </c>
      <c r="F11" s="10">
        <v>51</v>
      </c>
      <c r="G11" s="25">
        <f>bowling_stats[[#This Row],[wickets]]/bowling_stats[[#This Row],[matches_played]]</f>
        <v>0.70833333333333337</v>
      </c>
      <c r="H11" s="10">
        <v>194.8</v>
      </c>
      <c r="I11" s="10">
        <v>1606</v>
      </c>
    </row>
    <row r="12" spans="1:9" x14ac:dyDescent="0.2">
      <c r="A12" s="10" t="s">
        <v>40</v>
      </c>
      <c r="B12" s="10" t="str">
        <f>VLOOKUP(bowling_stats[[#This Row],[player_id]],'players '!A12:J99,2)</f>
        <v>Matheesha Pathirana</v>
      </c>
      <c r="C12" s="10" t="str">
        <f>VLOOKUP(bowling_stats[[#This Row],[player_name]],auction_data[#All],2,0)</f>
        <v>Chennai Super Kings</v>
      </c>
      <c r="D12" s="10">
        <f>VLOOKUP(bowling_stats[[#This Row],[team]],Teams!$A$3:$E$11,5,0)</f>
        <v>72</v>
      </c>
      <c r="E12" s="20">
        <f>(bowling_stats[[#This Row],[runs_conceded]])/bowling_stats[[#This Row],[overs]]</f>
        <v>7.6233766233766236</v>
      </c>
      <c r="F12" s="10">
        <v>135</v>
      </c>
      <c r="G12" s="25">
        <f>bowling_stats[[#This Row],[wickets]]/bowling_stats[[#This Row],[matches_played]]</f>
        <v>1.875</v>
      </c>
      <c r="H12" s="10">
        <v>616</v>
      </c>
      <c r="I12" s="10">
        <v>4696</v>
      </c>
    </row>
    <row r="13" spans="1:9" x14ac:dyDescent="0.2">
      <c r="A13" s="10" t="s">
        <v>42</v>
      </c>
      <c r="B13" s="10" t="str">
        <f>VLOOKUP(bowling_stats[[#This Row],[player_id]],'players '!A13:J100,2)</f>
        <v>Tushar Deshpande</v>
      </c>
      <c r="C13" s="10" t="str">
        <f>VLOOKUP(bowling_stats[[#This Row],[player_name]],auction_data[#All],2,0)</f>
        <v>Chennai Super Kings</v>
      </c>
      <c r="D13" s="10">
        <f>VLOOKUP(bowling_stats[[#This Row],[team]],Teams!$A$3:$E$11,5,0)</f>
        <v>72</v>
      </c>
      <c r="E13" s="20">
        <f>(bowling_stats[[#This Row],[runs_conceded]])/bowling_stats[[#This Row],[overs]]</f>
        <v>8.5744954916273084</v>
      </c>
      <c r="F13" s="10">
        <v>99</v>
      </c>
      <c r="G13" s="25">
        <f>bowling_stats[[#This Row],[wickets]]/bowling_stats[[#This Row],[matches_played]]</f>
        <v>1.375</v>
      </c>
      <c r="H13" s="10">
        <v>465.8</v>
      </c>
      <c r="I13" s="10">
        <v>3994</v>
      </c>
    </row>
    <row r="14" spans="1:9" x14ac:dyDescent="0.2">
      <c r="A14" s="10" t="s">
        <v>44</v>
      </c>
      <c r="B14" s="10" t="str">
        <f>VLOOKUP(bowling_stats[[#This Row],[player_id]],'players '!A14:J101,2)</f>
        <v>Deepak Chahar</v>
      </c>
      <c r="C14" s="10" t="str">
        <f>VLOOKUP(bowling_stats[[#This Row],[player_name]],auction_data[#All],2,0)</f>
        <v>Chennai Super Kings</v>
      </c>
      <c r="D14" s="10">
        <f>VLOOKUP(bowling_stats[[#This Row],[team]],Teams!$A$3:$E$11,5,0)</f>
        <v>72</v>
      </c>
      <c r="E14" s="20">
        <f>(bowling_stats[[#This Row],[runs_conceded]])/bowling_stats[[#This Row],[overs]]</f>
        <v>8.6186627479794264</v>
      </c>
      <c r="F14" s="10">
        <v>96</v>
      </c>
      <c r="G14" s="25">
        <f>bowling_stats[[#This Row],[wickets]]/bowling_stats[[#This Row],[matches_played]]</f>
        <v>1.3333333333333333</v>
      </c>
      <c r="H14" s="10">
        <v>408.3</v>
      </c>
      <c r="I14" s="10">
        <v>3519</v>
      </c>
    </row>
    <row r="15" spans="1:9" x14ac:dyDescent="0.2">
      <c r="A15" s="10" t="s">
        <v>48</v>
      </c>
      <c r="B15" s="10" t="str">
        <f>VLOOKUP(bowling_stats[[#This Row],[player_id]],'players '!A15:J102,2)</f>
        <v>Daryl Mitchell</v>
      </c>
      <c r="C15" s="10" t="str">
        <f>VLOOKUP(bowling_stats[[#This Row],[player_name]],auction_data[#All],2,0)</f>
        <v>Chennai Super Kings</v>
      </c>
      <c r="D15" s="10">
        <f>VLOOKUP(bowling_stats[[#This Row],[team]],Teams!$A$3:$E$11,5,0)</f>
        <v>72</v>
      </c>
      <c r="E15" s="20">
        <f>(bowling_stats[[#This Row],[runs_conceded]])/bowling_stats[[#This Row],[overs]]</f>
        <v>7.3537414965986398</v>
      </c>
      <c r="F15" s="10">
        <v>38</v>
      </c>
      <c r="G15" s="25">
        <f>bowling_stats[[#This Row],[wickets]]/bowling_stats[[#This Row],[matches_played]]</f>
        <v>0.52777777777777779</v>
      </c>
      <c r="H15" s="10">
        <v>147</v>
      </c>
      <c r="I15" s="10">
        <v>1081</v>
      </c>
    </row>
    <row r="16" spans="1:9" x14ac:dyDescent="0.2">
      <c r="A16" s="10" t="s">
        <v>50</v>
      </c>
      <c r="B16" s="10" t="str">
        <f>VLOOKUP(bowling_stats[[#This Row],[player_id]],'players '!A16:J103,2)</f>
        <v>Maheesh Theekshana</v>
      </c>
      <c r="C16" s="10" t="str">
        <f>VLOOKUP(bowling_stats[[#This Row],[player_name]],auction_data[#All],2,0)</f>
        <v>Chennai Super Kings</v>
      </c>
      <c r="D16" s="10">
        <f>VLOOKUP(bowling_stats[[#This Row],[team]],Teams!$A$3:$E$11,5,0)</f>
        <v>72</v>
      </c>
      <c r="E16" s="20">
        <f>(bowling_stats[[#This Row],[runs_conceded]])/bowling_stats[[#This Row],[overs]]</f>
        <v>7.2725194330132608</v>
      </c>
      <c r="F16" s="10">
        <v>91</v>
      </c>
      <c r="G16" s="25">
        <f>bowling_stats[[#This Row],[wickets]]/bowling_stats[[#This Row],[matches_played]]</f>
        <v>1.2638888888888888</v>
      </c>
      <c r="H16" s="10">
        <v>437.4</v>
      </c>
      <c r="I16" s="10">
        <v>3181</v>
      </c>
    </row>
    <row r="17" spans="1:9" x14ac:dyDescent="0.2">
      <c r="A17" s="10" t="s">
        <v>58</v>
      </c>
      <c r="B17" s="10" t="str">
        <f>VLOOKUP(bowling_stats[[#This Row],[player_id]],'players '!A17:J104,2)</f>
        <v>Glenn Maxwell</v>
      </c>
      <c r="C17" s="10" t="str">
        <f>VLOOKUP(bowling_stats[[#This Row],[player_name]],auction_data[#All],2,0)</f>
        <v>Royal Challengers Bengaluru</v>
      </c>
      <c r="D17" s="10">
        <f>VLOOKUP(bowling_stats[[#This Row],[team]],Teams!$A$3:$E$11,5,0)</f>
        <v>61</v>
      </c>
      <c r="E17" s="20">
        <f>(bowling_stats[[#This Row],[runs_conceded]])/bowling_stats[[#This Row],[overs]]</f>
        <v>7.6073030108904547</v>
      </c>
      <c r="F17" s="10">
        <v>178</v>
      </c>
      <c r="G17" s="25">
        <f>bowling_stats[[#This Row],[wickets]]/bowling_stats[[#This Row],[matches_played]]</f>
        <v>2.918032786885246</v>
      </c>
      <c r="H17" s="10">
        <v>624.4</v>
      </c>
      <c r="I17" s="10">
        <v>4750</v>
      </c>
    </row>
    <row r="18" spans="1:9" x14ac:dyDescent="0.2">
      <c r="A18" s="10" t="s">
        <v>60</v>
      </c>
      <c r="B18" s="10" t="str">
        <f>VLOOKUP(bowling_stats[[#This Row],[player_id]],'players '!A18:J105,2)</f>
        <v>Mohammed Siraj</v>
      </c>
      <c r="C18" s="10" t="str">
        <f>VLOOKUP(bowling_stats[[#This Row],[player_name]],auction_data[#All],2,0)</f>
        <v>Royal Challengers Bengaluru</v>
      </c>
      <c r="D18" s="10">
        <f>VLOOKUP(bowling_stats[[#This Row],[team]],Teams!$A$3:$E$11,5,0)</f>
        <v>61</v>
      </c>
      <c r="E18" s="20">
        <f>(bowling_stats[[#This Row],[runs_conceded]])/bowling_stats[[#This Row],[overs]]</f>
        <v>8.282828282828282</v>
      </c>
      <c r="F18" s="10">
        <v>134</v>
      </c>
      <c r="G18" s="25">
        <f>bowling_stats[[#This Row],[wickets]]/bowling_stats[[#This Row],[matches_played]]</f>
        <v>2.1967213114754101</v>
      </c>
      <c r="H18" s="10">
        <v>643.5</v>
      </c>
      <c r="I18" s="10">
        <v>5330</v>
      </c>
    </row>
    <row r="19" spans="1:9" x14ac:dyDescent="0.2">
      <c r="A19" s="10" t="s">
        <v>66</v>
      </c>
      <c r="B19" s="10" t="str">
        <f>VLOOKUP(bowling_stats[[#This Row],[player_id]],'players '!A19:J106,2)</f>
        <v>Cameron Green</v>
      </c>
      <c r="C19" s="10" t="str">
        <f>VLOOKUP(bowling_stats[[#This Row],[player_name]],auction_data[#All],2,0)</f>
        <v>Royal Challengers Bengaluru</v>
      </c>
      <c r="D19" s="10">
        <f>VLOOKUP(bowling_stats[[#This Row],[team]],Teams!$A$3:$E$11,5,0)</f>
        <v>61</v>
      </c>
      <c r="E19" s="20">
        <f>(bowling_stats[[#This Row],[runs_conceded]])/bowling_stats[[#This Row],[overs]]</f>
        <v>7.7710843373493983</v>
      </c>
      <c r="F19" s="10">
        <v>75</v>
      </c>
      <c r="G19" s="25">
        <f>bowling_stats[[#This Row],[wickets]]/bowling_stats[[#This Row],[matches_played]]</f>
        <v>1.2295081967213115</v>
      </c>
      <c r="H19" s="10">
        <v>282.2</v>
      </c>
      <c r="I19" s="10">
        <v>2193</v>
      </c>
    </row>
    <row r="20" spans="1:9" x14ac:dyDescent="0.2">
      <c r="A20" s="10" t="s">
        <v>70</v>
      </c>
      <c r="B20" s="10" t="str">
        <f>VLOOKUP(bowling_stats[[#This Row],[player_id]],'players '!A20:J107,2)</f>
        <v>Yash Dayal</v>
      </c>
      <c r="C20" s="10" t="str">
        <f>VLOOKUP(bowling_stats[[#This Row],[player_name]],auction_data[#All],2,0)</f>
        <v>Royal Challengers Bengaluru</v>
      </c>
      <c r="D20" s="10">
        <f>VLOOKUP(bowling_stats[[#This Row],[team]],Teams!$A$3:$E$11,5,0)</f>
        <v>61</v>
      </c>
      <c r="E20" s="20">
        <f>(bowling_stats[[#This Row],[runs_conceded]])/bowling_stats[[#This Row],[overs]]</f>
        <v>8.3870967741935498</v>
      </c>
      <c r="F20" s="10">
        <v>27</v>
      </c>
      <c r="G20" s="25">
        <f>bowling_stats[[#This Row],[wickets]]/bowling_stats[[#This Row],[matches_played]]</f>
        <v>0.44262295081967212</v>
      </c>
      <c r="H20" s="10">
        <v>130.19999999999999</v>
      </c>
      <c r="I20" s="10">
        <v>1092</v>
      </c>
    </row>
    <row r="21" spans="1:9" x14ac:dyDescent="0.2">
      <c r="A21" s="10" t="s">
        <v>72</v>
      </c>
      <c r="B21" s="10" t="str">
        <f>VLOOKUP(bowling_stats[[#This Row],[player_id]],'players '!A21:J108,2)</f>
        <v>Mayank Dagar</v>
      </c>
      <c r="C21" s="10" t="str">
        <f>VLOOKUP(bowling_stats[[#This Row],[player_name]],auction_data[#All],2,0)</f>
        <v>Royal Challengers Bengaluru</v>
      </c>
      <c r="D21" s="10">
        <f>VLOOKUP(bowling_stats[[#This Row],[team]],Teams!$A$3:$E$11,5,0)</f>
        <v>61</v>
      </c>
      <c r="E21" s="20">
        <f>(bowling_stats[[#This Row],[runs_conceded]])/bowling_stats[[#This Row],[overs]]</f>
        <v>7.7633289986996097</v>
      </c>
      <c r="F21" s="10">
        <v>73</v>
      </c>
      <c r="G21" s="25">
        <f>bowling_stats[[#This Row],[wickets]]/bowling_stats[[#This Row],[matches_played]]</f>
        <v>1.1967213114754098</v>
      </c>
      <c r="H21" s="10">
        <v>307.60000000000002</v>
      </c>
      <c r="I21" s="10">
        <v>2388</v>
      </c>
    </row>
    <row r="22" spans="1:9" x14ac:dyDescent="0.2">
      <c r="A22" s="10" t="s">
        <v>74</v>
      </c>
      <c r="B22" s="10" t="str">
        <f>VLOOKUP(bowling_stats[[#This Row],[player_id]],'players '!A22:J109,2)</f>
        <v>Karn Sharma</v>
      </c>
      <c r="C22" s="10" t="str">
        <f>VLOOKUP(bowling_stats[[#This Row],[player_name]],auction_data[#All],2,0)</f>
        <v>Royal Challengers Bengaluru</v>
      </c>
      <c r="D22" s="10">
        <f>VLOOKUP(bowling_stats[[#This Row],[team]],Teams!$A$3:$E$11,5,0)</f>
        <v>61</v>
      </c>
      <c r="E22" s="20">
        <f>(bowling_stats[[#This Row],[runs_conceded]])/bowling_stats[[#This Row],[overs]]</f>
        <v>8.6419172932330817</v>
      </c>
      <c r="F22" s="10">
        <v>50</v>
      </c>
      <c r="G22" s="25">
        <f>bowling_stats[[#This Row],[wickets]]/bowling_stats[[#This Row],[matches_played]]</f>
        <v>0.81967213114754101</v>
      </c>
      <c r="H22" s="10">
        <v>212.8</v>
      </c>
      <c r="I22" s="10">
        <v>1839</v>
      </c>
    </row>
    <row r="23" spans="1:9" x14ac:dyDescent="0.2">
      <c r="A23" s="10" t="s">
        <v>78</v>
      </c>
      <c r="B23" s="10" t="str">
        <f>VLOOKUP(bowling_stats[[#This Row],[player_id]],'players '!A23:J110,2)</f>
        <v>Sunil Narine</v>
      </c>
      <c r="C23" s="10" t="str">
        <f>VLOOKUP(bowling_stats[[#This Row],[player_name]],auction_data[#All],2,0)</f>
        <v>Kolkata Knight Riders</v>
      </c>
      <c r="D23" s="10">
        <f>VLOOKUP(bowling_stats[[#This Row],[team]],Teams!$A$3:$E$11,5,0)</f>
        <v>56</v>
      </c>
      <c r="E23" s="20">
        <f>(bowling_stats[[#This Row],[runs_conceded]])/bowling_stats[[#This Row],[overs]]</f>
        <v>7.4106041923551169</v>
      </c>
      <c r="F23" s="10">
        <v>121</v>
      </c>
      <c r="G23" s="25">
        <f>bowling_stats[[#This Row],[wickets]]/bowling_stats[[#This Row],[matches_played]]</f>
        <v>2.1607142857142856</v>
      </c>
      <c r="H23" s="10">
        <v>405.5</v>
      </c>
      <c r="I23" s="10">
        <v>3005</v>
      </c>
    </row>
    <row r="24" spans="1:9" x14ac:dyDescent="0.2">
      <c r="A24" s="10" t="s">
        <v>80</v>
      </c>
      <c r="B24" s="10" t="str">
        <f>VLOOKUP(bowling_stats[[#This Row],[player_id]],'players '!A24:J111,2)</f>
        <v>Andre Russell</v>
      </c>
      <c r="C24" s="10" t="str">
        <f>VLOOKUP(bowling_stats[[#This Row],[player_name]],auction_data[#All],2,0)</f>
        <v>Kolkata Knight Riders</v>
      </c>
      <c r="D24" s="10">
        <f>VLOOKUP(bowling_stats[[#This Row],[team]],Teams!$A$3:$E$11,5,0)</f>
        <v>56</v>
      </c>
      <c r="E24" s="20">
        <f>(bowling_stats[[#This Row],[runs_conceded]])/bowling_stats[[#This Row],[overs]]</f>
        <v>7.6091954022988508</v>
      </c>
      <c r="F24" s="10">
        <v>84</v>
      </c>
      <c r="G24" s="25">
        <f>bowling_stats[[#This Row],[wickets]]/bowling_stats[[#This Row],[matches_played]]</f>
        <v>1.5</v>
      </c>
      <c r="H24" s="10">
        <v>391.5</v>
      </c>
      <c r="I24" s="10">
        <v>2979</v>
      </c>
    </row>
    <row r="25" spans="1:9" x14ac:dyDescent="0.2">
      <c r="A25" s="10" t="s">
        <v>84</v>
      </c>
      <c r="B25" s="10" t="str">
        <f>VLOOKUP(bowling_stats[[#This Row],[player_id]],'players '!A25:J112,2)</f>
        <v>Mitchell Starc</v>
      </c>
      <c r="C25" s="10" t="str">
        <f>VLOOKUP(bowling_stats[[#This Row],[player_name]],auction_data[#All],2,0)</f>
        <v>Kolkata Knight Riders</v>
      </c>
      <c r="D25" s="10">
        <f>VLOOKUP(bowling_stats[[#This Row],[team]],Teams!$A$3:$E$11,5,0)</f>
        <v>56</v>
      </c>
      <c r="E25" s="20">
        <f>(bowling_stats[[#This Row],[runs_conceded]])/bowling_stats[[#This Row],[overs]]</f>
        <v>7.5598086124401913</v>
      </c>
      <c r="F25" s="10">
        <v>51</v>
      </c>
      <c r="G25" s="25">
        <f>bowling_stats[[#This Row],[wickets]]/bowling_stats[[#This Row],[matches_played]]</f>
        <v>0.9107142857142857</v>
      </c>
      <c r="H25" s="10">
        <v>229.9</v>
      </c>
      <c r="I25" s="10">
        <v>1738</v>
      </c>
    </row>
    <row r="26" spans="1:9" x14ac:dyDescent="0.2">
      <c r="A26" s="10" t="s">
        <v>88</v>
      </c>
      <c r="B26" s="10" t="str">
        <f>VLOOKUP(bowling_stats[[#This Row],[player_id]],'players '!A26:J113,2)</f>
        <v>Venkatesh Iyer</v>
      </c>
      <c r="C26" s="10" t="str">
        <f>VLOOKUP(bowling_stats[[#This Row],[player_name]],auction_data[#All],2,0)</f>
        <v>Kolkata Knight Riders</v>
      </c>
      <c r="D26" s="10">
        <f>VLOOKUP(bowling_stats[[#This Row],[team]],Teams!$A$3:$E$11,5,0)</f>
        <v>56</v>
      </c>
      <c r="E26" s="20">
        <f>(bowling_stats[[#This Row],[runs_conceded]])/bowling_stats[[#This Row],[overs]]</f>
        <v>7.7897082658022683</v>
      </c>
      <c r="F26" s="10">
        <v>152</v>
      </c>
      <c r="G26" s="25">
        <f>bowling_stats[[#This Row],[wickets]]/bowling_stats[[#This Row],[matches_played]]</f>
        <v>2.7142857142857144</v>
      </c>
      <c r="H26" s="10">
        <v>493.6</v>
      </c>
      <c r="I26" s="10">
        <v>3845</v>
      </c>
    </row>
    <row r="27" spans="1:9" x14ac:dyDescent="0.2">
      <c r="A27" s="10" t="s">
        <v>90</v>
      </c>
      <c r="B27" s="10" t="str">
        <f>VLOOKUP(bowling_stats[[#This Row],[player_id]],'players '!A27:J114,2)</f>
        <v>Varun Chakravarthy</v>
      </c>
      <c r="C27" s="10" t="str">
        <f>VLOOKUP(bowling_stats[[#This Row],[player_name]],auction_data[#All],2,0)</f>
        <v>Kolkata Knight Riders</v>
      </c>
      <c r="D27" s="10">
        <f>VLOOKUP(bowling_stats[[#This Row],[team]],Teams!$A$3:$E$11,5,0)</f>
        <v>56</v>
      </c>
      <c r="E27" s="20">
        <f>(bowling_stats[[#This Row],[runs_conceded]])/bowling_stats[[#This Row],[overs]]</f>
        <v>7.373086220789685</v>
      </c>
      <c r="F27" s="10">
        <v>178</v>
      </c>
      <c r="G27" s="25">
        <f>bowling_stats[[#This Row],[wickets]]/bowling_stats[[#This Row],[matches_played]]</f>
        <v>3.1785714285714284</v>
      </c>
      <c r="H27" s="10">
        <v>868.7</v>
      </c>
      <c r="I27" s="10">
        <v>6405</v>
      </c>
    </row>
    <row r="28" spans="1:9" x14ac:dyDescent="0.2">
      <c r="A28" s="10" t="s">
        <v>92</v>
      </c>
      <c r="B28" s="10" t="str">
        <f>VLOOKUP(bowling_stats[[#This Row],[player_id]],'players '!A28:J115,2)</f>
        <v>Harshit Rana</v>
      </c>
      <c r="C28" s="10" t="str">
        <f>VLOOKUP(bowling_stats[[#This Row],[player_name]],auction_data[#All],2,0)</f>
        <v>Kolkata Knight Riders</v>
      </c>
      <c r="D28" s="10">
        <f>VLOOKUP(bowling_stats[[#This Row],[team]],Teams!$A$3:$E$11,5,0)</f>
        <v>56</v>
      </c>
      <c r="E28" s="20">
        <f>(bowling_stats[[#This Row],[runs_conceded]])/bowling_stats[[#This Row],[overs]]</f>
        <v>8.7078651685393265</v>
      </c>
      <c r="F28" s="10">
        <v>21</v>
      </c>
      <c r="G28" s="25">
        <f>bowling_stats[[#This Row],[wickets]]/bowling_stats[[#This Row],[matches_played]]</f>
        <v>0.375</v>
      </c>
      <c r="H28" s="10">
        <v>89</v>
      </c>
      <c r="I28" s="10">
        <v>775</v>
      </c>
    </row>
    <row r="29" spans="1:9" x14ac:dyDescent="0.2">
      <c r="A29" s="10" t="s">
        <v>96</v>
      </c>
      <c r="B29" s="10" t="str">
        <f>VLOOKUP(bowling_stats[[#This Row],[player_id]],'players '!A29:J116,2)</f>
        <v>Vaibhav Arora</v>
      </c>
      <c r="C29" s="10" t="str">
        <f>VLOOKUP(bowling_stats[[#This Row],[player_name]],auction_data[#All],2,0)</f>
        <v>Kolkata Knight Riders</v>
      </c>
      <c r="D29" s="10">
        <f>VLOOKUP(bowling_stats[[#This Row],[team]],Teams!$A$3:$E$11,5,0)</f>
        <v>56</v>
      </c>
      <c r="E29" s="20">
        <f>(bowling_stats[[#This Row],[runs_conceded]])/bowling_stats[[#This Row],[overs]]</f>
        <v>8.7110187110187098</v>
      </c>
      <c r="F29" s="10">
        <v>44</v>
      </c>
      <c r="G29" s="25">
        <f>bowling_stats[[#This Row],[wickets]]/bowling_stats[[#This Row],[matches_played]]</f>
        <v>0.7857142857142857</v>
      </c>
      <c r="H29" s="10">
        <v>144.30000000000001</v>
      </c>
      <c r="I29" s="10">
        <v>1257</v>
      </c>
    </row>
    <row r="30" spans="1:9" x14ac:dyDescent="0.2">
      <c r="A30" s="10" t="s">
        <v>102</v>
      </c>
      <c r="B30" s="10" t="str">
        <f>VLOOKUP(bowling_stats[[#This Row],[player_id]],'players '!A30:J117,2)</f>
        <v>Axar Patel</v>
      </c>
      <c r="C30" s="10" t="str">
        <f>VLOOKUP(bowling_stats[[#This Row],[player_name]],auction_data[#All],2,0)</f>
        <v>Delhi Capitals</v>
      </c>
      <c r="D30" s="10">
        <f>VLOOKUP(bowling_stats[[#This Row],[team]],Teams!$A$3:$E$11,5,0)</f>
        <v>74</v>
      </c>
      <c r="E30" s="20">
        <f>(bowling_stats[[#This Row],[runs_conceded]])/bowling_stats[[#This Row],[overs]]</f>
        <v>8.5330776605944383</v>
      </c>
      <c r="F30" s="10">
        <v>121</v>
      </c>
      <c r="G30" s="25">
        <f>bowling_stats[[#This Row],[wickets]]/bowling_stats[[#This Row],[matches_played]]</f>
        <v>1.6351351351351351</v>
      </c>
      <c r="H30" s="10">
        <v>521.5</v>
      </c>
      <c r="I30" s="10">
        <v>4450</v>
      </c>
    </row>
    <row r="31" spans="1:9" x14ac:dyDescent="0.2">
      <c r="A31" s="10" t="s">
        <v>104</v>
      </c>
      <c r="B31" s="10" t="str">
        <f>VLOOKUP(bowling_stats[[#This Row],[player_id]],'players '!A31:J118,2)</f>
        <v>Kuldeep Yadav</v>
      </c>
      <c r="C31" s="10" t="str">
        <f>VLOOKUP(bowling_stats[[#This Row],[player_name]],auction_data[#All],2,0)</f>
        <v>Delhi Capitals</v>
      </c>
      <c r="D31" s="10">
        <f>VLOOKUP(bowling_stats[[#This Row],[team]],Teams!$A$3:$E$11,5,0)</f>
        <v>74</v>
      </c>
      <c r="E31" s="20">
        <f>(bowling_stats[[#This Row],[runs_conceded]])/bowling_stats[[#This Row],[overs]]</f>
        <v>7.9113247863247871</v>
      </c>
      <c r="F31" s="10">
        <v>109</v>
      </c>
      <c r="G31" s="25">
        <f>bowling_stats[[#This Row],[wickets]]/bowling_stats[[#This Row],[matches_played]]</f>
        <v>1.472972972972973</v>
      </c>
      <c r="H31" s="10">
        <v>374.4</v>
      </c>
      <c r="I31" s="10">
        <v>2962</v>
      </c>
    </row>
    <row r="32" spans="1:9" x14ac:dyDescent="0.2">
      <c r="A32" s="10" t="s">
        <v>112</v>
      </c>
      <c r="B32" s="10" t="str">
        <f>VLOOKUP(bowling_stats[[#This Row],[player_id]],'players '!A32:J119,2)</f>
        <v>Khaleel Ahmed</v>
      </c>
      <c r="C32" s="10" t="str">
        <f>VLOOKUP(bowling_stats[[#This Row],[player_name]],auction_data[#All],2,0)</f>
        <v>Delhi Capitals</v>
      </c>
      <c r="D32" s="10">
        <f>VLOOKUP(bowling_stats[[#This Row],[team]],Teams!$A$3:$E$11,5,0)</f>
        <v>74</v>
      </c>
      <c r="E32" s="20">
        <f>(bowling_stats[[#This Row],[runs_conceded]])/bowling_stats[[#This Row],[overs]]</f>
        <v>8.1529093369418124</v>
      </c>
      <c r="F32" s="10">
        <v>69</v>
      </c>
      <c r="G32" s="25">
        <f>bowling_stats[[#This Row],[wickets]]/bowling_stats[[#This Row],[matches_played]]</f>
        <v>0.93243243243243246</v>
      </c>
      <c r="H32" s="10">
        <v>295.60000000000002</v>
      </c>
      <c r="I32" s="10">
        <v>2410</v>
      </c>
    </row>
    <row r="33" spans="1:9" x14ac:dyDescent="0.2">
      <c r="A33" s="10" t="s">
        <v>114</v>
      </c>
      <c r="B33" s="10" t="str">
        <f>VLOOKUP(bowling_stats[[#This Row],[player_id]],'players '!A33:J120,2)</f>
        <v>Mukesh Kumar</v>
      </c>
      <c r="C33" s="10" t="str">
        <f>VLOOKUP(bowling_stats[[#This Row],[player_name]],auction_data[#All],2,0)</f>
        <v>Delhi Capitals</v>
      </c>
      <c r="D33" s="10">
        <f>VLOOKUP(bowling_stats[[#This Row],[team]],Teams!$A$3:$E$11,5,0)</f>
        <v>74</v>
      </c>
      <c r="E33" s="20">
        <f>(bowling_stats[[#This Row],[runs_conceded]])/bowling_stats[[#This Row],[overs]]</f>
        <v>7.3989102380269571</v>
      </c>
      <c r="F33" s="10">
        <v>100</v>
      </c>
      <c r="G33" s="25">
        <f>bowling_stats[[#This Row],[wickets]]/bowling_stats[[#This Row],[matches_played]]</f>
        <v>1.3513513513513513</v>
      </c>
      <c r="H33" s="10">
        <v>348.7</v>
      </c>
      <c r="I33" s="10">
        <v>2580</v>
      </c>
    </row>
    <row r="34" spans="1:9" x14ac:dyDescent="0.2">
      <c r="A34" s="10" t="s">
        <v>116</v>
      </c>
      <c r="B34" s="10" t="str">
        <f>VLOOKUP(bowling_stats[[#This Row],[player_id]],'players '!A34:J121,2)</f>
        <v>Ishant Sharma</v>
      </c>
      <c r="C34" s="10" t="str">
        <f>VLOOKUP(bowling_stats[[#This Row],[player_name]],auction_data[#All],2,0)</f>
        <v>Delhi Capitals</v>
      </c>
      <c r="D34" s="10">
        <f>VLOOKUP(bowling_stats[[#This Row],[team]],Teams!$A$3:$E$11,5,0)</f>
        <v>74</v>
      </c>
      <c r="E34" s="20">
        <f>(bowling_stats[[#This Row],[runs_conceded]])/bowling_stats[[#This Row],[overs]]</f>
        <v>7.5441231693578663</v>
      </c>
      <c r="F34" s="10">
        <v>156</v>
      </c>
      <c r="G34" s="25">
        <f>bowling_stats[[#This Row],[wickets]]/bowling_stats[[#This Row],[matches_played]]</f>
        <v>2.1081081081081079</v>
      </c>
      <c r="H34" s="10">
        <v>532.6</v>
      </c>
      <c r="I34" s="10">
        <v>4018</v>
      </c>
    </row>
    <row r="35" spans="1:9" x14ac:dyDescent="0.2">
      <c r="A35" s="10" t="s">
        <v>128</v>
      </c>
      <c r="B35" s="10" t="str">
        <f>VLOOKUP(bowling_stats[[#This Row],[player_id]],'players '!A35:J122,2)</f>
        <v>Yuzvendra Chahal</v>
      </c>
      <c r="C35" s="10" t="str">
        <f>VLOOKUP(bowling_stats[[#This Row],[player_name]],auction_data[#All],2,0)</f>
        <v>Rajasthan Royals</v>
      </c>
      <c r="D35" s="10">
        <f>VLOOKUP(bowling_stats[[#This Row],[team]],Teams!$A$3:$E$11,5,0)</f>
        <v>56</v>
      </c>
      <c r="E35" s="20">
        <f>(bowling_stats[[#This Row],[runs_conceded]])/bowling_stats[[#This Row],[overs]]</f>
        <v>8.4408163265306122</v>
      </c>
      <c r="F35" s="10">
        <v>31</v>
      </c>
      <c r="G35" s="25">
        <f>bowling_stats[[#This Row],[wickets]]/bowling_stats[[#This Row],[matches_played]]</f>
        <v>0.5535714285714286</v>
      </c>
      <c r="H35" s="10">
        <v>122.5</v>
      </c>
      <c r="I35" s="10">
        <v>1034</v>
      </c>
    </row>
    <row r="36" spans="1:9" x14ac:dyDescent="0.2">
      <c r="A36" s="10" t="s">
        <v>130</v>
      </c>
      <c r="B36" s="10" t="str">
        <f>VLOOKUP(bowling_stats[[#This Row],[player_id]],'players '!A36:J123,2)</f>
        <v>Trent Boult</v>
      </c>
      <c r="C36" s="10" t="str">
        <f>VLOOKUP(bowling_stats[[#This Row],[player_name]],auction_data[#All],2,0)</f>
        <v>Rajasthan Royals</v>
      </c>
      <c r="D36" s="10">
        <f>VLOOKUP(bowling_stats[[#This Row],[team]],Teams!$A$3:$E$11,5,0)</f>
        <v>56</v>
      </c>
      <c r="E36" s="20">
        <f>(bowling_stats[[#This Row],[runs_conceded]])/bowling_stats[[#This Row],[overs]]</f>
        <v>7.2667050691244244</v>
      </c>
      <c r="F36" s="10">
        <v>71</v>
      </c>
      <c r="G36" s="25">
        <f>bowling_stats[[#This Row],[wickets]]/bowling_stats[[#This Row],[matches_played]]</f>
        <v>1.2678571428571428</v>
      </c>
      <c r="H36" s="10">
        <v>347.2</v>
      </c>
      <c r="I36" s="10">
        <v>2523</v>
      </c>
    </row>
    <row r="37" spans="1:9" x14ac:dyDescent="0.2">
      <c r="A37" s="10" t="s">
        <v>132</v>
      </c>
      <c r="B37" s="10" t="str">
        <f>VLOOKUP(bowling_stats[[#This Row],[player_id]],'players '!A37:J124,2)</f>
        <v>Ravichandran Ashwin</v>
      </c>
      <c r="C37" s="10" t="str">
        <f>VLOOKUP(bowling_stats[[#This Row],[player_name]],auction_data[#All],2,0)</f>
        <v>Rajasthan Royals</v>
      </c>
      <c r="D37" s="10">
        <f>VLOOKUP(bowling_stats[[#This Row],[team]],Teams!$A$3:$E$11,5,0)</f>
        <v>56</v>
      </c>
      <c r="E37" s="20">
        <f>(bowling_stats[[#This Row],[runs_conceded]])/bowling_stats[[#This Row],[overs]]</f>
        <v>8.5523682454969983</v>
      </c>
      <c r="F37" s="10">
        <v>30</v>
      </c>
      <c r="G37" s="25">
        <f>bowling_stats[[#This Row],[wickets]]/bowling_stats[[#This Row],[matches_played]]</f>
        <v>0.5357142857142857</v>
      </c>
      <c r="H37" s="10">
        <v>149.9</v>
      </c>
      <c r="I37" s="10">
        <v>1282</v>
      </c>
    </row>
    <row r="38" spans="1:9" x14ac:dyDescent="0.2">
      <c r="A38" s="10" t="s">
        <v>136</v>
      </c>
      <c r="B38" s="10" t="str">
        <f>VLOOKUP(bowling_stats[[#This Row],[player_id]],'players '!A38:J125,2)</f>
        <v>Avesh Khan</v>
      </c>
      <c r="C38" s="10" t="str">
        <f>VLOOKUP(bowling_stats[[#This Row],[player_name]],auction_data[#All],2,0)</f>
        <v>Rajasthan Royals</v>
      </c>
      <c r="D38" s="10">
        <f>VLOOKUP(bowling_stats[[#This Row],[team]],Teams!$A$3:$E$11,5,0)</f>
        <v>56</v>
      </c>
      <c r="E38" s="20">
        <f>(bowling_stats[[#This Row],[runs_conceded]])/bowling_stats[[#This Row],[overs]]</f>
        <v>7.4352941176470591</v>
      </c>
      <c r="F38" s="10">
        <v>35</v>
      </c>
      <c r="G38" s="25">
        <f>bowling_stats[[#This Row],[wickets]]/bowling_stats[[#This Row],[matches_played]]</f>
        <v>0.625</v>
      </c>
      <c r="H38" s="10">
        <v>127.5</v>
      </c>
      <c r="I38" s="10">
        <v>948</v>
      </c>
    </row>
    <row r="39" spans="1:9" x14ac:dyDescent="0.2">
      <c r="A39" s="10" t="s">
        <v>140</v>
      </c>
      <c r="B39" s="10" t="str">
        <f>VLOOKUP(bowling_stats[[#This Row],[player_id]],'players '!A39:J126,2)</f>
        <v>Sandeep Sharma</v>
      </c>
      <c r="C39" s="10" t="str">
        <f>VLOOKUP(bowling_stats[[#This Row],[player_name]],auction_data[#All],2,0)</f>
        <v>Rajasthan Royals</v>
      </c>
      <c r="D39" s="10">
        <f>VLOOKUP(bowling_stats[[#This Row],[team]],Teams!$A$3:$E$11,5,0)</f>
        <v>56</v>
      </c>
      <c r="E39" s="20">
        <f>(bowling_stats[[#This Row],[runs_conceded]])/bowling_stats[[#This Row],[overs]]</f>
        <v>7.925390740194632</v>
      </c>
      <c r="F39" s="10">
        <v>167</v>
      </c>
      <c r="G39" s="25">
        <f>bowling_stats[[#This Row],[wickets]]/bowling_stats[[#This Row],[matches_played]]</f>
        <v>2.9821428571428572</v>
      </c>
      <c r="H39" s="10">
        <v>678.2</v>
      </c>
      <c r="I39" s="10">
        <v>5375</v>
      </c>
    </row>
    <row r="40" spans="1:9" x14ac:dyDescent="0.2">
      <c r="A40" s="10" t="s">
        <v>142</v>
      </c>
      <c r="B40" s="10" t="str">
        <f>VLOOKUP(bowling_stats[[#This Row],[player_id]],'players '!A40:J127,2)</f>
        <v>Pat Cummins</v>
      </c>
      <c r="C40" s="10" t="str">
        <f>VLOOKUP(bowling_stats[[#This Row],[player_name]],auction_data[#All],2,0)</f>
        <v>Sunrisers Hyderabad</v>
      </c>
      <c r="D40" s="10">
        <f>VLOOKUP(bowling_stats[[#This Row],[team]],Teams!$A$3:$E$11,5,0)</f>
        <v>67</v>
      </c>
      <c r="E40" s="20">
        <f>(bowling_stats[[#This Row],[runs_conceded]])/bowling_stats[[#This Row],[overs]]</f>
        <v>7.5436570933756677</v>
      </c>
      <c r="F40" s="10">
        <v>156</v>
      </c>
      <c r="G40" s="25">
        <f>bowling_stats[[#This Row],[wickets]]/bowling_stats[[#This Row],[matches_played]]</f>
        <v>2.3283582089552239</v>
      </c>
      <c r="H40" s="10">
        <v>692.9</v>
      </c>
      <c r="I40" s="10">
        <v>5227</v>
      </c>
    </row>
    <row r="41" spans="1:9" x14ac:dyDescent="0.2">
      <c r="A41" s="10" t="s">
        <v>146</v>
      </c>
      <c r="B41" s="10" t="str">
        <f>VLOOKUP(bowling_stats[[#This Row],[player_id]],'players '!A41:J128,2)</f>
        <v>Abhishek Sharma</v>
      </c>
      <c r="C41" s="10" t="str">
        <f>VLOOKUP(bowling_stats[[#This Row],[player_name]],auction_data[#All],2,0)</f>
        <v>Sunrisers Hyderabad</v>
      </c>
      <c r="D41" s="10">
        <f>VLOOKUP(bowling_stats[[#This Row],[team]],Teams!$A$3:$E$11,5,0)</f>
        <v>67</v>
      </c>
      <c r="E41" s="20">
        <f>(bowling_stats[[#This Row],[runs_conceded]])/bowling_stats[[#This Row],[overs]]</f>
        <v>7.4424808269423144</v>
      </c>
      <c r="F41" s="10">
        <v>80</v>
      </c>
      <c r="G41" s="25">
        <f>bowling_stats[[#This Row],[wickets]]/bowling_stats[[#This Row],[matches_played]]</f>
        <v>1.1940298507462686</v>
      </c>
      <c r="H41" s="10">
        <v>299.89999999999998</v>
      </c>
      <c r="I41" s="10">
        <v>2232</v>
      </c>
    </row>
    <row r="42" spans="1:9" x14ac:dyDescent="0.2">
      <c r="A42" s="10" t="s">
        <v>150</v>
      </c>
      <c r="B42" s="10" t="str">
        <f>VLOOKUP(bowling_stats[[#This Row],[player_id]],'players '!A42:J129,2)</f>
        <v>Bhuvneshwar Kumar</v>
      </c>
      <c r="C42" s="10" t="str">
        <f>VLOOKUP(bowling_stats[[#This Row],[player_name]],auction_data[#All],2,0)</f>
        <v>Sunrisers Hyderabad</v>
      </c>
      <c r="D42" s="10">
        <f>VLOOKUP(bowling_stats[[#This Row],[team]],Teams!$A$3:$E$11,5,0)</f>
        <v>67</v>
      </c>
      <c r="E42" s="20">
        <f>(bowling_stats[[#This Row],[runs_conceded]])/bowling_stats[[#This Row],[overs]]</f>
        <v>8.0888714117184417</v>
      </c>
      <c r="F42" s="10">
        <v>110</v>
      </c>
      <c r="G42" s="25">
        <f>bowling_stats[[#This Row],[wickets]]/bowling_stats[[#This Row],[matches_played]]</f>
        <v>1.6417910447761195</v>
      </c>
      <c r="H42" s="10">
        <v>508.6</v>
      </c>
      <c r="I42" s="10">
        <v>4114</v>
      </c>
    </row>
    <row r="43" spans="1:9" x14ac:dyDescent="0.2">
      <c r="A43" s="10" t="s">
        <v>152</v>
      </c>
      <c r="B43" s="10" t="str">
        <f>VLOOKUP(bowling_stats[[#This Row],[player_id]],'players '!A43:J130,2)</f>
        <v>T Natarajan</v>
      </c>
      <c r="C43" s="10" t="str">
        <f>VLOOKUP(bowling_stats[[#This Row],[player_name]],auction_data[#All],2,0)</f>
        <v>Sunrisers Hyderabad</v>
      </c>
      <c r="D43" s="10">
        <f>VLOOKUP(bowling_stats[[#This Row],[team]],Teams!$A$3:$E$11,5,0)</f>
        <v>67</v>
      </c>
      <c r="E43" s="20">
        <f>(bowling_stats[[#This Row],[runs_conceded]])/bowling_stats[[#This Row],[overs]]</f>
        <v>8.5949943117178602</v>
      </c>
      <c r="F43" s="10">
        <v>46</v>
      </c>
      <c r="G43" s="25">
        <f>bowling_stats[[#This Row],[wickets]]/bowling_stats[[#This Row],[matches_played]]</f>
        <v>0.68656716417910446</v>
      </c>
      <c r="H43" s="10">
        <v>175.8</v>
      </c>
      <c r="I43" s="10">
        <v>1511</v>
      </c>
    </row>
    <row r="44" spans="1:9" x14ac:dyDescent="0.2">
      <c r="A44" s="10" t="s">
        <v>154</v>
      </c>
      <c r="B44" s="10" t="str">
        <f>VLOOKUP(bowling_stats[[#This Row],[player_id]],'players '!A44:J131,2)</f>
        <v>Nitish Kumar Reddy</v>
      </c>
      <c r="C44" s="10" t="str">
        <f>VLOOKUP(bowling_stats[[#This Row],[player_name]],auction_data[#All],2,0)</f>
        <v>Sunrisers Hyderabad</v>
      </c>
      <c r="D44" s="10">
        <f>VLOOKUP(bowling_stats[[#This Row],[team]],Teams!$A$3:$E$11,5,0)</f>
        <v>67</v>
      </c>
      <c r="E44" s="20">
        <f>(bowling_stats[[#This Row],[runs_conceded]])/bowling_stats[[#This Row],[overs]]</f>
        <v>7.3645320197044333</v>
      </c>
      <c r="F44" s="10">
        <v>168</v>
      </c>
      <c r="G44" s="25">
        <f>bowling_stats[[#This Row],[wickets]]/bowling_stats[[#This Row],[matches_played]]</f>
        <v>2.5074626865671643</v>
      </c>
      <c r="H44" s="10">
        <v>609</v>
      </c>
      <c r="I44" s="10">
        <v>4485</v>
      </c>
    </row>
    <row r="45" spans="1:9" x14ac:dyDescent="0.2">
      <c r="A45" s="10" t="s">
        <v>156</v>
      </c>
      <c r="B45" s="10" t="str">
        <f>VLOOKUP(bowling_stats[[#This Row],[player_id]],'players '!A45:J132,2)</f>
        <v>Shahbaz Ahmed</v>
      </c>
      <c r="C45" s="10" t="str">
        <f>VLOOKUP(bowling_stats[[#This Row],[player_name]],auction_data[#All],2,0)</f>
        <v>Sunrisers Hyderabad</v>
      </c>
      <c r="D45" s="10">
        <f>VLOOKUP(bowling_stats[[#This Row],[team]],Teams!$A$3:$E$11,5,0)</f>
        <v>67</v>
      </c>
      <c r="E45" s="20">
        <f>(bowling_stats[[#This Row],[runs_conceded]])/bowling_stats[[#This Row],[overs]]</f>
        <v>8.088803088803088</v>
      </c>
      <c r="F45" s="10">
        <v>42</v>
      </c>
      <c r="G45" s="25">
        <f>bowling_stats[[#This Row],[wickets]]/bowling_stats[[#This Row],[matches_played]]</f>
        <v>0.62686567164179108</v>
      </c>
      <c r="H45" s="10">
        <v>155.4</v>
      </c>
      <c r="I45" s="10">
        <v>1257</v>
      </c>
    </row>
    <row r="46" spans="1:9" x14ac:dyDescent="0.2">
      <c r="A46" s="10" t="s">
        <v>158</v>
      </c>
      <c r="B46" s="10" t="str">
        <f>VLOOKUP(bowling_stats[[#This Row],[player_id]],'players '!A46:J133,2)</f>
        <v>Jaydev Unadkat</v>
      </c>
      <c r="C46" s="10" t="str">
        <f>VLOOKUP(bowling_stats[[#This Row],[player_name]],auction_data[#All],2,0)</f>
        <v>Sunrisers Hyderabad</v>
      </c>
      <c r="D46" s="10">
        <f>VLOOKUP(bowling_stats[[#This Row],[team]],Teams!$A$3:$E$11,5,0)</f>
        <v>67</v>
      </c>
      <c r="E46" s="20">
        <f>(bowling_stats[[#This Row],[runs_conceded]])/bowling_stats[[#This Row],[overs]]</f>
        <v>8.4889262685730316</v>
      </c>
      <c r="F46" s="10">
        <v>86</v>
      </c>
      <c r="G46" s="25">
        <f>bowling_stats[[#This Row],[wickets]]/bowling_stats[[#This Row],[matches_played]]</f>
        <v>1.2835820895522387</v>
      </c>
      <c r="H46" s="10">
        <v>356.7</v>
      </c>
      <c r="I46" s="10">
        <v>3028</v>
      </c>
    </row>
    <row r="47" spans="1:9" x14ac:dyDescent="0.2">
      <c r="A47" s="10" t="s">
        <v>168</v>
      </c>
      <c r="B47" s="10" t="str">
        <f>VLOOKUP(bowling_stats[[#This Row],[player_id]],'players '!A47:J134,2)</f>
        <v>Marcus Stoinis</v>
      </c>
      <c r="C47" s="10" t="str">
        <f>VLOOKUP(bowling_stats[[#This Row],[player_name]],auction_data[#All],2,0)</f>
        <v>Lucknow Super Giants</v>
      </c>
      <c r="D47" s="10">
        <f>VLOOKUP(bowling_stats[[#This Row],[team]],Teams!$A$3:$E$11,5,0)</f>
        <v>61</v>
      </c>
      <c r="E47" s="20">
        <f>(bowling_stats[[#This Row],[runs_conceded]])/bowling_stats[[#This Row],[overs]]</f>
        <v>7.3462857142857141</v>
      </c>
      <c r="F47" s="10">
        <v>177</v>
      </c>
      <c r="G47" s="25">
        <f>bowling_stats[[#This Row],[wickets]]/bowling_stats[[#This Row],[matches_played]]</f>
        <v>2.901639344262295</v>
      </c>
      <c r="H47" s="10">
        <v>875</v>
      </c>
      <c r="I47" s="10">
        <v>6428</v>
      </c>
    </row>
    <row r="48" spans="1:9" x14ac:dyDescent="0.2">
      <c r="A48" s="10" t="s">
        <v>170</v>
      </c>
      <c r="B48" s="10" t="str">
        <f>VLOOKUP(bowling_stats[[#This Row],[player_id]],'players '!A48:J135,2)</f>
        <v>Ravi Bishnoi</v>
      </c>
      <c r="C48" s="10" t="str">
        <f>VLOOKUP(bowling_stats[[#This Row],[player_name]],auction_data[#All],2,0)</f>
        <v>Lucknow Super Giants</v>
      </c>
      <c r="D48" s="10">
        <f>VLOOKUP(bowling_stats[[#This Row],[team]],Teams!$A$3:$E$11,5,0)</f>
        <v>61</v>
      </c>
      <c r="E48" s="20">
        <f>(bowling_stats[[#This Row],[runs_conceded]])/bowling_stats[[#This Row],[overs]]</f>
        <v>7.6959479443951491</v>
      </c>
      <c r="F48" s="10">
        <v>102</v>
      </c>
      <c r="G48" s="25">
        <f>bowling_stats[[#This Row],[wickets]]/bowling_stats[[#This Row],[matches_played]]</f>
        <v>1.6721311475409837</v>
      </c>
      <c r="H48" s="10">
        <v>338.1</v>
      </c>
      <c r="I48" s="10">
        <v>2602</v>
      </c>
    </row>
    <row r="49" spans="1:9" x14ac:dyDescent="0.2">
      <c r="A49" s="10" t="s">
        <v>176</v>
      </c>
      <c r="B49" s="10" t="str">
        <f>VLOOKUP(bowling_stats[[#This Row],[player_id]],'players '!A49:J136,2)</f>
        <v>Krunal Pandya</v>
      </c>
      <c r="C49" s="10" t="str">
        <f>VLOOKUP(bowling_stats[[#This Row],[player_name]],auction_data[#All],2,0)</f>
        <v>Lucknow Super Giants</v>
      </c>
      <c r="D49" s="10">
        <f>VLOOKUP(bowling_stats[[#This Row],[team]],Teams!$A$3:$E$11,5,0)</f>
        <v>61</v>
      </c>
      <c r="E49" s="20">
        <f>(bowling_stats[[#This Row],[runs_conceded]])/bowling_stats[[#This Row],[overs]]</f>
        <v>7.5448979591836736</v>
      </c>
      <c r="F49" s="10">
        <v>128</v>
      </c>
      <c r="G49" s="25">
        <f>bowling_stats[[#This Row],[wickets]]/bowling_stats[[#This Row],[matches_played]]</f>
        <v>2.098360655737705</v>
      </c>
      <c r="H49" s="10">
        <v>490</v>
      </c>
      <c r="I49" s="10">
        <v>3697</v>
      </c>
    </row>
    <row r="50" spans="1:9" x14ac:dyDescent="0.2">
      <c r="A50" s="10" t="s">
        <v>178</v>
      </c>
      <c r="B50" s="10" t="str">
        <f>VLOOKUP(bowling_stats[[#This Row],[player_id]],'players '!A50:J137,2)</f>
        <v>Naveen-ul-Haq</v>
      </c>
      <c r="C50" s="10" t="str">
        <f>VLOOKUP(bowling_stats[[#This Row],[player_name]],auction_data[#All],2,0)</f>
        <v>Lucknow Super Giants</v>
      </c>
      <c r="D50" s="10">
        <f>VLOOKUP(bowling_stats[[#This Row],[team]],Teams!$A$3:$E$11,5,0)</f>
        <v>61</v>
      </c>
      <c r="E50" s="20">
        <f>(bowling_stats[[#This Row],[runs_conceded]])/bowling_stats[[#This Row],[overs]]</f>
        <v>8.1477572559366749</v>
      </c>
      <c r="F50" s="10">
        <v>87</v>
      </c>
      <c r="G50" s="25">
        <f>bowling_stats[[#This Row],[wickets]]/bowling_stats[[#This Row],[matches_played]]</f>
        <v>1.4262295081967213</v>
      </c>
      <c r="H50" s="10">
        <v>379</v>
      </c>
      <c r="I50" s="10">
        <v>3088</v>
      </c>
    </row>
    <row r="51" spans="1:9" x14ac:dyDescent="0.2">
      <c r="A51" s="10" t="s">
        <v>180</v>
      </c>
      <c r="B51" s="10" t="str">
        <f>VLOOKUP(bowling_stats[[#This Row],[player_id]],'players '!A51:J138,2)</f>
        <v>Yash Thakur</v>
      </c>
      <c r="C51" s="10" t="str">
        <f>VLOOKUP(bowling_stats[[#This Row],[player_name]],auction_data[#All],2,0)</f>
        <v>Lucknow Super Giants</v>
      </c>
      <c r="D51" s="10">
        <f>VLOOKUP(bowling_stats[[#This Row],[team]],Teams!$A$3:$E$11,5,0)</f>
        <v>61</v>
      </c>
      <c r="E51" s="20">
        <f>(bowling_stats[[#This Row],[runs_conceded]])/bowling_stats[[#This Row],[overs]]</f>
        <v>7.2866065232477446</v>
      </c>
      <c r="F51" s="10">
        <v>116</v>
      </c>
      <c r="G51" s="25">
        <f>bowling_stats[[#This Row],[wickets]]/bowling_stats[[#This Row],[matches_played]]</f>
        <v>1.901639344262295</v>
      </c>
      <c r="H51" s="10">
        <v>576.4</v>
      </c>
      <c r="I51" s="10">
        <v>4200</v>
      </c>
    </row>
    <row r="52" spans="1:9" x14ac:dyDescent="0.2">
      <c r="A52" s="10" t="s">
        <v>182</v>
      </c>
      <c r="B52" s="10" t="str">
        <f>VLOOKUP(bowling_stats[[#This Row],[player_id]],'players '!A52:J139,2)</f>
        <v>Mohsin Khan</v>
      </c>
      <c r="C52" s="10" t="str">
        <f>VLOOKUP(bowling_stats[[#This Row],[player_name]],auction_data[#All],2,0)</f>
        <v>Lucknow Super Giants</v>
      </c>
      <c r="D52" s="10">
        <f>VLOOKUP(bowling_stats[[#This Row],[team]],Teams!$A$3:$E$11,5,0)</f>
        <v>61</v>
      </c>
      <c r="E52" s="20">
        <f>(bowling_stats[[#This Row],[runs_conceded]])/bowling_stats[[#This Row],[overs]]</f>
        <v>8.4212208373282209</v>
      </c>
      <c r="F52" s="10">
        <v>69</v>
      </c>
      <c r="G52" s="25">
        <f>bowling_stats[[#This Row],[wickets]]/bowling_stats[[#This Row],[matches_played]]</f>
        <v>1.1311475409836065</v>
      </c>
      <c r="H52" s="10">
        <v>312.89999999999998</v>
      </c>
      <c r="I52" s="10">
        <v>2635</v>
      </c>
    </row>
  </sheetData>
  <mergeCells count="1">
    <mergeCell ref="A1:I2"/>
  </mergeCell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5BF2B-327C-924A-A129-5DBCAE1FC3B6}">
  <dimension ref="A1:C91"/>
  <sheetViews>
    <sheetView workbookViewId="0">
      <selection activeCell="C4" sqref="C4"/>
    </sheetView>
  </sheetViews>
  <sheetFormatPr baseColWidth="10" defaultRowHeight="16" x14ac:dyDescent="0.2"/>
  <cols>
    <col min="1" max="1" width="18.5" bestFit="1" customWidth="1"/>
    <col min="2" max="2" width="24.5" bestFit="1" customWidth="1"/>
    <col min="3" max="3" width="19.33203125" bestFit="1" customWidth="1"/>
  </cols>
  <sheetData>
    <row r="1" spans="1:3" x14ac:dyDescent="0.2">
      <c r="A1" s="15" t="s">
        <v>469</v>
      </c>
      <c r="B1" s="15"/>
      <c r="C1" s="15"/>
    </row>
    <row r="2" spans="1:3" x14ac:dyDescent="0.2">
      <c r="A2" s="15"/>
      <c r="B2" s="15"/>
      <c r="C2" s="15"/>
    </row>
    <row r="3" spans="1:3" ht="19" x14ac:dyDescent="0.2">
      <c r="A3" s="16" t="s">
        <v>1</v>
      </c>
      <c r="B3" s="16" t="s">
        <v>464</v>
      </c>
      <c r="C3" s="16" t="s">
        <v>465</v>
      </c>
    </row>
    <row r="4" spans="1:3" x14ac:dyDescent="0.2">
      <c r="A4" s="10" t="s">
        <v>5</v>
      </c>
      <c r="B4" s="10" t="s">
        <v>220</v>
      </c>
      <c r="C4" s="17">
        <v>2000000</v>
      </c>
    </row>
    <row r="5" spans="1:3" x14ac:dyDescent="0.2">
      <c r="A5" s="10" t="s">
        <v>9</v>
      </c>
      <c r="B5" s="10" t="s">
        <v>220</v>
      </c>
      <c r="C5" s="17">
        <v>160000000</v>
      </c>
    </row>
    <row r="6" spans="1:3" x14ac:dyDescent="0.2">
      <c r="A6" s="10" t="s">
        <v>11</v>
      </c>
      <c r="B6" s="10" t="s">
        <v>220</v>
      </c>
      <c r="C6" s="17">
        <v>170000000</v>
      </c>
    </row>
    <row r="7" spans="1:3" x14ac:dyDescent="0.2">
      <c r="A7" s="10" t="s">
        <v>14</v>
      </c>
      <c r="B7" s="10" t="s">
        <v>220</v>
      </c>
      <c r="C7" s="17">
        <v>80000000</v>
      </c>
    </row>
    <row r="8" spans="1:3" x14ac:dyDescent="0.2">
      <c r="A8" s="10" t="s">
        <v>17</v>
      </c>
      <c r="B8" s="10" t="s">
        <v>220</v>
      </c>
      <c r="C8" s="17">
        <v>5000000</v>
      </c>
    </row>
    <row r="9" spans="1:3" x14ac:dyDescent="0.2">
      <c r="A9" s="10" t="s">
        <v>20</v>
      </c>
      <c r="B9" s="10" t="s">
        <v>220</v>
      </c>
      <c r="C9" s="17">
        <v>50000000</v>
      </c>
    </row>
    <row r="10" spans="1:3" x14ac:dyDescent="0.2">
      <c r="A10" s="10" t="s">
        <v>22</v>
      </c>
      <c r="B10" s="10" t="s">
        <v>220</v>
      </c>
      <c r="C10" s="17">
        <v>70000000</v>
      </c>
    </row>
    <row r="11" spans="1:3" x14ac:dyDescent="0.2">
      <c r="A11" s="10" t="s">
        <v>25</v>
      </c>
      <c r="B11" s="10" t="s">
        <v>220</v>
      </c>
      <c r="C11" s="17">
        <v>20000000</v>
      </c>
    </row>
    <row r="12" spans="1:3" x14ac:dyDescent="0.2">
      <c r="A12" s="10" t="s">
        <v>27</v>
      </c>
      <c r="B12" s="10" t="s">
        <v>220</v>
      </c>
      <c r="C12" s="17">
        <v>150000000</v>
      </c>
    </row>
    <row r="13" spans="1:3" x14ac:dyDescent="0.2">
      <c r="A13" s="10" t="s">
        <v>29</v>
      </c>
      <c r="B13" s="10" t="s">
        <v>220</v>
      </c>
      <c r="C13" s="17">
        <v>120000000</v>
      </c>
    </row>
    <row r="14" spans="1:3" x14ac:dyDescent="0.2">
      <c r="A14" s="10" t="s">
        <v>31</v>
      </c>
      <c r="B14" s="10" t="s">
        <v>220</v>
      </c>
      <c r="C14" s="17">
        <v>40000000</v>
      </c>
    </row>
    <row r="15" spans="1:3" x14ac:dyDescent="0.2">
      <c r="A15" s="10" t="s">
        <v>33</v>
      </c>
      <c r="B15" s="10" t="s">
        <v>210</v>
      </c>
      <c r="C15" s="17">
        <v>170000000</v>
      </c>
    </row>
    <row r="16" spans="1:3" x14ac:dyDescent="0.2">
      <c r="A16" s="10" t="s">
        <v>35</v>
      </c>
      <c r="B16" s="10" t="s">
        <v>210</v>
      </c>
      <c r="C16" s="17">
        <v>2000000</v>
      </c>
    </row>
    <row r="17" spans="1:3" x14ac:dyDescent="0.2">
      <c r="A17" s="10" t="s">
        <v>37</v>
      </c>
      <c r="B17" s="10" t="s">
        <v>210</v>
      </c>
      <c r="C17" s="17">
        <v>160000000</v>
      </c>
    </row>
    <row r="18" spans="1:3" x14ac:dyDescent="0.2">
      <c r="A18" s="10" t="s">
        <v>39</v>
      </c>
      <c r="B18" s="10" t="s">
        <v>210</v>
      </c>
      <c r="C18" s="17">
        <v>120000000</v>
      </c>
    </row>
    <row r="19" spans="1:3" x14ac:dyDescent="0.2">
      <c r="A19" s="10" t="s">
        <v>41</v>
      </c>
      <c r="B19" s="10" t="s">
        <v>210</v>
      </c>
      <c r="C19" s="17">
        <v>20000000</v>
      </c>
    </row>
    <row r="20" spans="1:3" x14ac:dyDescent="0.2">
      <c r="A20" s="10" t="s">
        <v>43</v>
      </c>
      <c r="B20" s="10" t="s">
        <v>210</v>
      </c>
      <c r="C20" s="17">
        <v>80000000</v>
      </c>
    </row>
    <row r="21" spans="1:3" x14ac:dyDescent="0.2">
      <c r="A21" s="10" t="s">
        <v>45</v>
      </c>
      <c r="B21" s="10" t="s">
        <v>210</v>
      </c>
      <c r="C21" s="17">
        <v>70000000</v>
      </c>
    </row>
    <row r="22" spans="1:3" x14ac:dyDescent="0.2">
      <c r="A22" s="10" t="s">
        <v>47</v>
      </c>
      <c r="B22" s="10" t="s">
        <v>210</v>
      </c>
      <c r="C22" s="17">
        <v>5000000</v>
      </c>
    </row>
    <row r="23" spans="1:3" x14ac:dyDescent="0.2">
      <c r="A23" s="10" t="s">
        <v>49</v>
      </c>
      <c r="B23" s="10" t="s">
        <v>210</v>
      </c>
      <c r="C23" s="17">
        <v>150000000</v>
      </c>
    </row>
    <row r="24" spans="1:3" x14ac:dyDescent="0.2">
      <c r="A24" s="10" t="s">
        <v>51</v>
      </c>
      <c r="B24" s="10" t="s">
        <v>210</v>
      </c>
      <c r="C24" s="17">
        <v>40000000</v>
      </c>
    </row>
    <row r="25" spans="1:3" x14ac:dyDescent="0.2">
      <c r="A25" s="10" t="s">
        <v>53</v>
      </c>
      <c r="B25" s="10" t="s">
        <v>210</v>
      </c>
      <c r="C25" s="17">
        <v>50000000</v>
      </c>
    </row>
    <row r="26" spans="1:3" x14ac:dyDescent="0.2">
      <c r="A26" s="10" t="s">
        <v>55</v>
      </c>
      <c r="B26" s="10" t="s">
        <v>201</v>
      </c>
      <c r="C26" s="17">
        <v>120000000</v>
      </c>
    </row>
    <row r="27" spans="1:3" x14ac:dyDescent="0.2">
      <c r="A27" s="10" t="s">
        <v>57</v>
      </c>
      <c r="B27" s="10" t="s">
        <v>201</v>
      </c>
      <c r="C27" s="17">
        <v>40000000</v>
      </c>
    </row>
    <row r="28" spans="1:3" x14ac:dyDescent="0.2">
      <c r="A28" s="10" t="s">
        <v>59</v>
      </c>
      <c r="B28" s="10" t="s">
        <v>201</v>
      </c>
      <c r="C28" s="17">
        <v>80000000</v>
      </c>
    </row>
    <row r="29" spans="1:3" x14ac:dyDescent="0.2">
      <c r="A29" s="10" t="s">
        <v>61</v>
      </c>
      <c r="B29" s="10" t="s">
        <v>201</v>
      </c>
      <c r="C29" s="17">
        <v>170000000</v>
      </c>
    </row>
    <row r="30" spans="1:3" x14ac:dyDescent="0.2">
      <c r="A30" s="10" t="s">
        <v>63</v>
      </c>
      <c r="B30" s="10" t="s">
        <v>201</v>
      </c>
      <c r="C30" s="17">
        <v>50000000</v>
      </c>
    </row>
    <row r="31" spans="1:3" x14ac:dyDescent="0.2">
      <c r="A31" s="10" t="s">
        <v>65</v>
      </c>
      <c r="B31" s="10" t="s">
        <v>201</v>
      </c>
      <c r="C31" s="17">
        <v>160000000</v>
      </c>
    </row>
    <row r="32" spans="1:3" x14ac:dyDescent="0.2">
      <c r="A32" s="10" t="s">
        <v>67</v>
      </c>
      <c r="B32" s="10" t="s">
        <v>201</v>
      </c>
      <c r="C32" s="17">
        <v>2000000</v>
      </c>
    </row>
    <row r="33" spans="1:3" x14ac:dyDescent="0.2">
      <c r="A33" s="10" t="s">
        <v>69</v>
      </c>
      <c r="B33" s="10" t="s">
        <v>201</v>
      </c>
      <c r="C33" s="17">
        <v>150000000</v>
      </c>
    </row>
    <row r="34" spans="1:3" x14ac:dyDescent="0.2">
      <c r="A34" s="10" t="s">
        <v>71</v>
      </c>
      <c r="B34" s="10" t="s">
        <v>201</v>
      </c>
      <c r="C34" s="17">
        <v>70000000</v>
      </c>
    </row>
    <row r="35" spans="1:3" x14ac:dyDescent="0.2">
      <c r="A35" s="10" t="s">
        <v>73</v>
      </c>
      <c r="B35" s="10" t="s">
        <v>201</v>
      </c>
      <c r="C35" s="17">
        <v>5000000</v>
      </c>
    </row>
    <row r="36" spans="1:3" x14ac:dyDescent="0.2">
      <c r="A36" s="10" t="s">
        <v>75</v>
      </c>
      <c r="B36" s="10" t="s">
        <v>201</v>
      </c>
      <c r="C36" s="17">
        <v>20000000</v>
      </c>
    </row>
    <row r="37" spans="1:3" x14ac:dyDescent="0.2">
      <c r="A37" s="10" t="s">
        <v>77</v>
      </c>
      <c r="B37" s="10" t="s">
        <v>193</v>
      </c>
      <c r="C37" s="17">
        <v>70000000</v>
      </c>
    </row>
    <row r="38" spans="1:3" x14ac:dyDescent="0.2">
      <c r="A38" s="10" t="s">
        <v>79</v>
      </c>
      <c r="B38" s="10" t="s">
        <v>193</v>
      </c>
      <c r="C38" s="17">
        <v>160000000</v>
      </c>
    </row>
    <row r="39" spans="1:3" x14ac:dyDescent="0.2">
      <c r="A39" s="10" t="s">
        <v>81</v>
      </c>
      <c r="B39" s="10" t="s">
        <v>193</v>
      </c>
      <c r="C39" s="17">
        <v>5000000</v>
      </c>
    </row>
    <row r="40" spans="1:3" x14ac:dyDescent="0.2">
      <c r="A40" s="10" t="s">
        <v>83</v>
      </c>
      <c r="B40" s="10" t="s">
        <v>193</v>
      </c>
      <c r="C40" s="17">
        <v>50000000</v>
      </c>
    </row>
    <row r="41" spans="1:3" x14ac:dyDescent="0.2">
      <c r="A41" s="10" t="s">
        <v>85</v>
      </c>
      <c r="B41" s="10" t="s">
        <v>193</v>
      </c>
      <c r="C41" s="17">
        <v>170000000</v>
      </c>
    </row>
    <row r="42" spans="1:3" x14ac:dyDescent="0.2">
      <c r="A42" s="10" t="s">
        <v>87</v>
      </c>
      <c r="B42" s="10" t="s">
        <v>193</v>
      </c>
      <c r="C42" s="17">
        <v>150000000</v>
      </c>
    </row>
    <row r="43" spans="1:3" x14ac:dyDescent="0.2">
      <c r="A43" s="10" t="s">
        <v>89</v>
      </c>
      <c r="B43" s="10" t="s">
        <v>193</v>
      </c>
      <c r="C43" s="17">
        <v>2000000</v>
      </c>
    </row>
    <row r="44" spans="1:3" x14ac:dyDescent="0.2">
      <c r="A44" s="10" t="s">
        <v>91</v>
      </c>
      <c r="B44" s="10" t="s">
        <v>193</v>
      </c>
      <c r="C44" s="17">
        <v>80000000</v>
      </c>
    </row>
    <row r="45" spans="1:3" x14ac:dyDescent="0.2">
      <c r="A45" s="10" t="s">
        <v>93</v>
      </c>
      <c r="B45" s="10" t="s">
        <v>193</v>
      </c>
      <c r="C45" s="17">
        <v>40000000</v>
      </c>
    </row>
    <row r="46" spans="1:3" x14ac:dyDescent="0.2">
      <c r="A46" s="10" t="s">
        <v>95</v>
      </c>
      <c r="B46" s="10" t="s">
        <v>193</v>
      </c>
      <c r="C46" s="17">
        <v>20000000</v>
      </c>
    </row>
    <row r="47" spans="1:3" x14ac:dyDescent="0.2">
      <c r="A47" s="10" t="s">
        <v>97</v>
      </c>
      <c r="B47" s="10" t="s">
        <v>193</v>
      </c>
      <c r="C47" s="17">
        <v>120000000</v>
      </c>
    </row>
    <row r="48" spans="1:3" x14ac:dyDescent="0.2">
      <c r="A48" s="10" t="s">
        <v>99</v>
      </c>
      <c r="B48" s="10" t="s">
        <v>215</v>
      </c>
      <c r="C48" s="17">
        <v>50000000</v>
      </c>
    </row>
    <row r="49" spans="1:3" x14ac:dyDescent="0.2">
      <c r="A49" s="10" t="s">
        <v>101</v>
      </c>
      <c r="B49" s="10" t="s">
        <v>215</v>
      </c>
      <c r="C49" s="17">
        <v>160000000</v>
      </c>
    </row>
    <row r="50" spans="1:3" x14ac:dyDescent="0.2">
      <c r="A50" s="10" t="s">
        <v>103</v>
      </c>
      <c r="B50" s="10" t="s">
        <v>215</v>
      </c>
      <c r="C50" s="17">
        <v>20000000</v>
      </c>
    </row>
    <row r="51" spans="1:3" x14ac:dyDescent="0.2">
      <c r="A51" s="10" t="s">
        <v>105</v>
      </c>
      <c r="B51" s="10" t="s">
        <v>215</v>
      </c>
      <c r="C51" s="17">
        <v>80000000</v>
      </c>
    </row>
    <row r="52" spans="1:3" x14ac:dyDescent="0.2">
      <c r="A52" s="10" t="s">
        <v>107</v>
      </c>
      <c r="B52" s="10" t="s">
        <v>215</v>
      </c>
      <c r="C52" s="17">
        <v>2000000</v>
      </c>
    </row>
    <row r="53" spans="1:3" x14ac:dyDescent="0.2">
      <c r="A53" s="10" t="s">
        <v>109</v>
      </c>
      <c r="B53" s="10" t="s">
        <v>215</v>
      </c>
      <c r="C53" s="17">
        <v>70000000</v>
      </c>
    </row>
    <row r="54" spans="1:3" x14ac:dyDescent="0.2">
      <c r="A54" s="10" t="s">
        <v>111</v>
      </c>
      <c r="B54" s="10" t="s">
        <v>215</v>
      </c>
      <c r="C54" s="17">
        <v>40000000</v>
      </c>
    </row>
    <row r="55" spans="1:3" x14ac:dyDescent="0.2">
      <c r="A55" s="10" t="s">
        <v>113</v>
      </c>
      <c r="B55" s="10" t="s">
        <v>215</v>
      </c>
      <c r="C55" s="17">
        <v>150000000</v>
      </c>
    </row>
    <row r="56" spans="1:3" x14ac:dyDescent="0.2">
      <c r="A56" s="10" t="s">
        <v>115</v>
      </c>
      <c r="B56" s="10" t="s">
        <v>215</v>
      </c>
      <c r="C56" s="17">
        <v>120000000</v>
      </c>
    </row>
    <row r="57" spans="1:3" x14ac:dyDescent="0.2">
      <c r="A57" s="10" t="s">
        <v>117</v>
      </c>
      <c r="B57" s="10" t="s">
        <v>215</v>
      </c>
      <c r="C57" s="17">
        <v>170000000</v>
      </c>
    </row>
    <row r="58" spans="1:3" x14ac:dyDescent="0.2">
      <c r="A58" s="10" t="s">
        <v>119</v>
      </c>
      <c r="B58" s="10" t="s">
        <v>215</v>
      </c>
      <c r="C58" s="17">
        <v>5000000</v>
      </c>
    </row>
    <row r="59" spans="1:3" x14ac:dyDescent="0.2">
      <c r="A59" s="10" t="s">
        <v>121</v>
      </c>
      <c r="B59" s="10" t="s">
        <v>205</v>
      </c>
      <c r="C59" s="17">
        <v>170000000</v>
      </c>
    </row>
    <row r="60" spans="1:3" x14ac:dyDescent="0.2">
      <c r="A60" s="10" t="s">
        <v>123</v>
      </c>
      <c r="B60" s="10" t="s">
        <v>205</v>
      </c>
      <c r="C60" s="17">
        <v>120000000</v>
      </c>
    </row>
    <row r="61" spans="1:3" x14ac:dyDescent="0.2">
      <c r="A61" s="10" t="s">
        <v>125</v>
      </c>
      <c r="B61" s="10" t="s">
        <v>205</v>
      </c>
      <c r="C61" s="17">
        <v>80000000</v>
      </c>
    </row>
    <row r="62" spans="1:3" x14ac:dyDescent="0.2">
      <c r="A62" s="10" t="s">
        <v>127</v>
      </c>
      <c r="B62" s="10" t="s">
        <v>205</v>
      </c>
      <c r="C62" s="17">
        <v>160000000</v>
      </c>
    </row>
    <row r="63" spans="1:3" x14ac:dyDescent="0.2">
      <c r="A63" s="10" t="s">
        <v>129</v>
      </c>
      <c r="B63" s="10" t="s">
        <v>205</v>
      </c>
      <c r="C63" s="17">
        <v>50000000</v>
      </c>
    </row>
    <row r="64" spans="1:3" x14ac:dyDescent="0.2">
      <c r="A64" s="10" t="s">
        <v>131</v>
      </c>
      <c r="B64" s="10" t="s">
        <v>205</v>
      </c>
      <c r="C64" s="17">
        <v>40000000</v>
      </c>
    </row>
    <row r="65" spans="1:3" x14ac:dyDescent="0.2">
      <c r="A65" s="10" t="s">
        <v>133</v>
      </c>
      <c r="B65" s="10" t="s">
        <v>205</v>
      </c>
      <c r="C65" s="17">
        <v>2000000</v>
      </c>
    </row>
    <row r="66" spans="1:3" x14ac:dyDescent="0.2">
      <c r="A66" s="10" t="s">
        <v>135</v>
      </c>
      <c r="B66" s="10" t="s">
        <v>205</v>
      </c>
      <c r="C66" s="17">
        <v>5000000</v>
      </c>
    </row>
    <row r="67" spans="1:3" x14ac:dyDescent="0.2">
      <c r="A67" s="10" t="s">
        <v>137</v>
      </c>
      <c r="B67" s="10" t="s">
        <v>205</v>
      </c>
      <c r="C67" s="17">
        <v>70000000</v>
      </c>
    </row>
    <row r="68" spans="1:3" x14ac:dyDescent="0.2">
      <c r="A68" s="10" t="s">
        <v>139</v>
      </c>
      <c r="B68" s="10" t="s">
        <v>205</v>
      </c>
      <c r="C68" s="17">
        <v>150000000</v>
      </c>
    </row>
    <row r="69" spans="1:3" x14ac:dyDescent="0.2">
      <c r="A69" s="10" t="s">
        <v>141</v>
      </c>
      <c r="B69" s="10" t="s">
        <v>205</v>
      </c>
      <c r="C69" s="17">
        <v>20000000</v>
      </c>
    </row>
    <row r="70" spans="1:3" x14ac:dyDescent="0.2">
      <c r="A70" s="10" t="s">
        <v>143</v>
      </c>
      <c r="B70" s="10" t="s">
        <v>203</v>
      </c>
      <c r="C70" s="17">
        <v>150000000</v>
      </c>
    </row>
    <row r="71" spans="1:3" x14ac:dyDescent="0.2">
      <c r="A71" s="10" t="s">
        <v>145</v>
      </c>
      <c r="B71" s="10" t="s">
        <v>203</v>
      </c>
      <c r="C71" s="17">
        <v>70000000</v>
      </c>
    </row>
    <row r="72" spans="1:3" x14ac:dyDescent="0.2">
      <c r="A72" s="10" t="s">
        <v>147</v>
      </c>
      <c r="B72" s="10" t="s">
        <v>203</v>
      </c>
      <c r="C72" s="17">
        <v>5000000</v>
      </c>
    </row>
    <row r="73" spans="1:3" x14ac:dyDescent="0.2">
      <c r="A73" s="10" t="s">
        <v>149</v>
      </c>
      <c r="B73" s="10" t="s">
        <v>203</v>
      </c>
      <c r="C73" s="17">
        <v>120000000</v>
      </c>
    </row>
    <row r="74" spans="1:3" x14ac:dyDescent="0.2">
      <c r="A74" s="10" t="s">
        <v>151</v>
      </c>
      <c r="B74" s="10" t="s">
        <v>203</v>
      </c>
      <c r="C74" s="17">
        <v>20000000</v>
      </c>
    </row>
    <row r="75" spans="1:3" x14ac:dyDescent="0.2">
      <c r="A75" s="10" t="s">
        <v>153</v>
      </c>
      <c r="B75" s="10" t="s">
        <v>203</v>
      </c>
      <c r="C75" s="17">
        <v>2000000</v>
      </c>
    </row>
    <row r="76" spans="1:3" x14ac:dyDescent="0.2">
      <c r="A76" s="10" t="s">
        <v>155</v>
      </c>
      <c r="B76" s="10" t="s">
        <v>203</v>
      </c>
      <c r="C76" s="17">
        <v>170000000</v>
      </c>
    </row>
    <row r="77" spans="1:3" x14ac:dyDescent="0.2">
      <c r="A77" s="10" t="s">
        <v>157</v>
      </c>
      <c r="B77" s="10" t="s">
        <v>203</v>
      </c>
      <c r="C77" s="17">
        <v>160000000</v>
      </c>
    </row>
    <row r="78" spans="1:3" x14ac:dyDescent="0.2">
      <c r="A78" s="10" t="s">
        <v>159</v>
      </c>
      <c r="B78" s="10" t="s">
        <v>203</v>
      </c>
      <c r="C78" s="17">
        <v>50000000</v>
      </c>
    </row>
    <row r="79" spans="1:3" x14ac:dyDescent="0.2">
      <c r="A79" s="10" t="s">
        <v>161</v>
      </c>
      <c r="B79" s="10" t="s">
        <v>203</v>
      </c>
      <c r="C79" s="17">
        <v>80000000</v>
      </c>
    </row>
    <row r="80" spans="1:3" x14ac:dyDescent="0.2">
      <c r="A80" s="10" t="s">
        <v>163</v>
      </c>
      <c r="B80" s="10" t="s">
        <v>203</v>
      </c>
      <c r="C80" s="17">
        <v>40000000</v>
      </c>
    </row>
    <row r="81" spans="1:3" x14ac:dyDescent="0.2">
      <c r="A81" s="10" t="s">
        <v>165</v>
      </c>
      <c r="B81" s="10" t="s">
        <v>198</v>
      </c>
      <c r="C81" s="17">
        <v>40000000</v>
      </c>
    </row>
    <row r="82" spans="1:3" x14ac:dyDescent="0.2">
      <c r="A82" s="10" t="s">
        <v>167</v>
      </c>
      <c r="B82" s="10" t="s">
        <v>198</v>
      </c>
      <c r="C82" s="17">
        <v>50000000</v>
      </c>
    </row>
    <row r="83" spans="1:3" x14ac:dyDescent="0.2">
      <c r="A83" s="10" t="s">
        <v>169</v>
      </c>
      <c r="B83" s="10" t="s">
        <v>198</v>
      </c>
      <c r="C83" s="17">
        <v>80000000</v>
      </c>
    </row>
    <row r="84" spans="1:3" x14ac:dyDescent="0.2">
      <c r="A84" s="10" t="s">
        <v>171</v>
      </c>
      <c r="B84" s="10" t="s">
        <v>198</v>
      </c>
      <c r="C84" s="17">
        <v>120000000</v>
      </c>
    </row>
    <row r="85" spans="1:3" x14ac:dyDescent="0.2">
      <c r="A85" s="10" t="s">
        <v>173</v>
      </c>
      <c r="B85" s="10" t="s">
        <v>198</v>
      </c>
      <c r="C85" s="17">
        <v>70000000</v>
      </c>
    </row>
    <row r="86" spans="1:3" x14ac:dyDescent="0.2">
      <c r="A86" s="10" t="s">
        <v>175</v>
      </c>
      <c r="B86" s="10" t="s">
        <v>198</v>
      </c>
      <c r="C86" s="17">
        <v>150000000</v>
      </c>
    </row>
    <row r="87" spans="1:3" x14ac:dyDescent="0.2">
      <c r="A87" s="10" t="s">
        <v>177</v>
      </c>
      <c r="B87" s="10" t="s">
        <v>198</v>
      </c>
      <c r="C87" s="17">
        <v>170000000</v>
      </c>
    </row>
    <row r="88" spans="1:3" x14ac:dyDescent="0.2">
      <c r="A88" s="10" t="s">
        <v>179</v>
      </c>
      <c r="B88" s="10" t="s">
        <v>198</v>
      </c>
      <c r="C88" s="17">
        <v>160000000</v>
      </c>
    </row>
    <row r="89" spans="1:3" x14ac:dyDescent="0.2">
      <c r="A89" s="10" t="s">
        <v>181</v>
      </c>
      <c r="B89" s="10" t="s">
        <v>198</v>
      </c>
      <c r="C89" s="17">
        <v>20000000</v>
      </c>
    </row>
    <row r="90" spans="1:3" x14ac:dyDescent="0.2">
      <c r="A90" s="10" t="s">
        <v>183</v>
      </c>
      <c r="B90" s="10" t="s">
        <v>198</v>
      </c>
      <c r="C90" s="17">
        <v>2000000</v>
      </c>
    </row>
    <row r="91" spans="1:3" x14ac:dyDescent="0.2">
      <c r="A91" s="10" t="s">
        <v>185</v>
      </c>
      <c r="B91" s="10" t="s">
        <v>198</v>
      </c>
      <c r="C91" s="17">
        <v>5000000</v>
      </c>
    </row>
  </sheetData>
  <mergeCells count="1">
    <mergeCell ref="A1:C2"/>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FEECE-A2E1-E841-AD47-DA0480DC6098}">
  <dimension ref="A3:B99"/>
  <sheetViews>
    <sheetView workbookViewId="0">
      <selection activeCell="K5" sqref="K5"/>
    </sheetView>
  </sheetViews>
  <sheetFormatPr baseColWidth="10" defaultRowHeight="16" x14ac:dyDescent="0.2"/>
  <cols>
    <col min="1" max="1" width="22.1640625" bestFit="1" customWidth="1"/>
    <col min="2" max="2" width="12.5" bestFit="1" customWidth="1"/>
    <col min="3" max="3" width="15.5" bestFit="1" customWidth="1"/>
    <col min="4" max="4" width="12.5" bestFit="1" customWidth="1"/>
    <col min="5" max="5" width="13.6640625" bestFit="1" customWidth="1"/>
    <col min="6" max="6" width="14" bestFit="1" customWidth="1"/>
    <col min="7" max="7" width="12.5" bestFit="1" customWidth="1"/>
    <col min="8" max="8" width="10.33203125" bestFit="1" customWidth="1"/>
    <col min="9" max="9" width="10.6640625" bestFit="1" customWidth="1"/>
    <col min="10" max="10" width="9.5" bestFit="1" customWidth="1"/>
    <col min="11" max="11" width="12.1640625" bestFit="1" customWidth="1"/>
    <col min="12" max="12" width="18.1640625" bestFit="1" customWidth="1"/>
    <col min="13" max="13" width="14.1640625" bestFit="1" customWidth="1"/>
    <col min="14" max="14" width="12.5" bestFit="1" customWidth="1"/>
    <col min="15" max="15" width="12.1640625" bestFit="1" customWidth="1"/>
    <col min="16" max="16" width="13.83203125" bestFit="1" customWidth="1"/>
    <col min="17" max="17" width="15.1640625" bestFit="1" customWidth="1"/>
    <col min="18" max="18" width="10.1640625" bestFit="1" customWidth="1"/>
    <col min="19" max="19" width="13.33203125" bestFit="1" customWidth="1"/>
    <col min="20" max="20" width="12.6640625" bestFit="1" customWidth="1"/>
    <col min="21" max="21" width="13.83203125" bestFit="1" customWidth="1"/>
    <col min="22" max="23" width="13" bestFit="1" customWidth="1"/>
    <col min="24" max="24" width="11.83203125" bestFit="1" customWidth="1"/>
    <col min="25" max="25" width="15.1640625" bestFit="1" customWidth="1"/>
    <col min="26" max="26" width="11.6640625" bestFit="1" customWidth="1"/>
    <col min="27" max="27" width="13" bestFit="1" customWidth="1"/>
    <col min="28" max="28" width="17.83203125" bestFit="1" customWidth="1"/>
    <col min="29" max="29" width="13.5" bestFit="1" customWidth="1"/>
    <col min="30" max="30" width="13.6640625" bestFit="1" customWidth="1"/>
    <col min="31" max="31" width="9.83203125" bestFit="1" customWidth="1"/>
    <col min="32" max="32" width="11.6640625" bestFit="1" customWidth="1"/>
    <col min="33" max="33" width="13.5" bestFit="1" customWidth="1"/>
    <col min="34" max="34" width="8.33203125" bestFit="1" customWidth="1"/>
    <col min="35" max="35" width="12.83203125" bestFit="1" customWidth="1"/>
    <col min="36" max="36" width="13" bestFit="1" customWidth="1"/>
    <col min="37" max="37" width="19" bestFit="1" customWidth="1"/>
    <col min="38" max="38" width="13.33203125" bestFit="1" customWidth="1"/>
    <col min="39" max="39" width="18.83203125" bestFit="1" customWidth="1"/>
    <col min="40" max="40" width="14.5" bestFit="1" customWidth="1"/>
    <col min="41" max="41" width="12.83203125" bestFit="1" customWidth="1"/>
    <col min="42" max="42" width="12.5" bestFit="1" customWidth="1"/>
    <col min="43" max="43" width="15" bestFit="1" customWidth="1"/>
    <col min="44" max="44" width="11.6640625" bestFit="1" customWidth="1"/>
    <col min="45" max="45" width="8.83203125" bestFit="1" customWidth="1"/>
    <col min="46" max="46" width="13.5" bestFit="1" customWidth="1"/>
    <col min="47" max="47" width="11" bestFit="1" customWidth="1"/>
    <col min="48" max="48" width="13.5" bestFit="1" customWidth="1"/>
    <col min="49" max="49" width="14.6640625" bestFit="1" customWidth="1"/>
    <col min="50" max="50" width="17.5" bestFit="1" customWidth="1"/>
    <col min="51" max="51" width="12.5" bestFit="1" customWidth="1"/>
    <col min="52" max="52" width="7.83203125" bestFit="1" customWidth="1"/>
    <col min="53" max="53" width="13.1640625" bestFit="1" customWidth="1"/>
    <col min="54" max="54" width="11.1640625" bestFit="1" customWidth="1"/>
    <col min="55" max="55" width="14.5" bestFit="1" customWidth="1"/>
    <col min="56" max="56" width="11.83203125" bestFit="1" customWidth="1"/>
    <col min="57" max="57" width="15.83203125" bestFit="1" customWidth="1"/>
    <col min="58" max="58" width="11.1640625" bestFit="1" customWidth="1"/>
    <col min="59" max="59" width="18.83203125" bestFit="1" customWidth="1"/>
    <col min="60" max="60" width="13.83203125" bestFit="1" customWidth="1"/>
    <col min="61" max="61" width="10.6640625" bestFit="1" customWidth="1"/>
    <col min="62" max="62" width="12" bestFit="1" customWidth="1"/>
    <col min="64" max="64" width="12.1640625" bestFit="1" customWidth="1"/>
    <col min="65" max="65" width="14.6640625" bestFit="1" customWidth="1"/>
    <col min="66" max="66" width="11.6640625" bestFit="1" customWidth="1"/>
    <col min="67" max="67" width="14.83203125" bestFit="1" customWidth="1"/>
    <col min="68" max="68" width="12.6640625" bestFit="1" customWidth="1"/>
    <col min="69" max="69" width="14.1640625" bestFit="1" customWidth="1"/>
    <col min="70" max="70" width="15.5" bestFit="1" customWidth="1"/>
    <col min="71" max="71" width="11.83203125" bestFit="1" customWidth="1"/>
    <col min="72" max="73" width="11" bestFit="1" customWidth="1"/>
    <col min="74" max="74" width="16.33203125" bestFit="1" customWidth="1"/>
    <col min="75" max="75" width="10.5" bestFit="1" customWidth="1"/>
    <col min="77" max="77" width="9.1640625" bestFit="1" customWidth="1"/>
    <col min="78" max="78" width="10.6640625" bestFit="1" customWidth="1"/>
    <col min="79" max="79" width="10" bestFit="1" customWidth="1"/>
    <col min="80" max="80" width="12.83203125" bestFit="1" customWidth="1"/>
    <col min="81" max="81" width="16.5" bestFit="1" customWidth="1"/>
    <col min="82" max="82" width="12.5" bestFit="1" customWidth="1"/>
    <col min="83" max="83" width="17.5" bestFit="1" customWidth="1"/>
    <col min="84" max="84" width="13.33203125" bestFit="1" customWidth="1"/>
    <col min="85" max="85" width="9.6640625" bestFit="1" customWidth="1"/>
    <col min="86" max="86" width="10.1640625" bestFit="1" customWidth="1"/>
    <col min="87" max="87" width="11" bestFit="1" customWidth="1"/>
    <col min="88" max="88" width="14.83203125" bestFit="1" customWidth="1"/>
    <col min="89" max="89" width="15.6640625" bestFit="1" customWidth="1"/>
    <col min="90" max="90" width="10.5" bestFit="1" customWidth="1"/>
  </cols>
  <sheetData>
    <row r="3" spans="1:2" x14ac:dyDescent="0.2">
      <c r="A3" s="30" t="s">
        <v>484</v>
      </c>
      <c r="B3" t="s">
        <v>486</v>
      </c>
    </row>
    <row r="4" spans="1:2" x14ac:dyDescent="0.2">
      <c r="A4" s="30" t="s">
        <v>480</v>
      </c>
      <c r="B4" t="s">
        <v>486</v>
      </c>
    </row>
    <row r="6" spans="1:2" x14ac:dyDescent="0.2">
      <c r="A6" s="30" t="s">
        <v>482</v>
      </c>
      <c r="B6" t="s">
        <v>485</v>
      </c>
    </row>
    <row r="7" spans="1:2" x14ac:dyDescent="0.2">
      <c r="A7" s="31" t="s">
        <v>15</v>
      </c>
      <c r="B7" s="33">
        <v>266.44445674988168</v>
      </c>
    </row>
    <row r="8" spans="1:2" x14ac:dyDescent="0.2">
      <c r="A8" s="32" t="s">
        <v>89</v>
      </c>
      <c r="B8" s="33">
        <v>18.504934591340589</v>
      </c>
    </row>
    <row r="9" spans="1:2" x14ac:dyDescent="0.2">
      <c r="A9" s="32" t="s">
        <v>143</v>
      </c>
      <c r="B9" s="33">
        <v>17.380223503639257</v>
      </c>
    </row>
    <row r="10" spans="1:2" x14ac:dyDescent="0.2">
      <c r="A10" s="32" t="s">
        <v>81</v>
      </c>
      <c r="B10" s="33">
        <v>17.208661740558291</v>
      </c>
    </row>
    <row r="11" spans="1:2" x14ac:dyDescent="0.2">
      <c r="A11" s="32" t="s">
        <v>133</v>
      </c>
      <c r="B11" s="33">
        <v>17.049417468788718</v>
      </c>
    </row>
    <row r="12" spans="1:2" x14ac:dyDescent="0.2">
      <c r="A12" s="32" t="s">
        <v>14</v>
      </c>
      <c r="B12" s="33">
        <v>16.683730108480013</v>
      </c>
    </row>
    <row r="13" spans="1:2" x14ac:dyDescent="0.2">
      <c r="A13" s="32" t="s">
        <v>31</v>
      </c>
      <c r="B13" s="33">
        <v>16.410474723931525</v>
      </c>
    </row>
    <row r="14" spans="1:2" x14ac:dyDescent="0.2">
      <c r="A14" s="32" t="s">
        <v>79</v>
      </c>
      <c r="B14" s="33">
        <v>15.514395807644883</v>
      </c>
    </row>
    <row r="15" spans="1:2" x14ac:dyDescent="0.2">
      <c r="A15" s="32" t="s">
        <v>155</v>
      </c>
      <c r="B15" s="33">
        <v>15.507109771340344</v>
      </c>
    </row>
    <row r="16" spans="1:2" x14ac:dyDescent="0.2">
      <c r="A16" s="32" t="s">
        <v>49</v>
      </c>
      <c r="B16" s="33">
        <v>15.465702947845806</v>
      </c>
    </row>
    <row r="17" spans="1:2" x14ac:dyDescent="0.2">
      <c r="A17" s="32" t="s">
        <v>103</v>
      </c>
      <c r="B17" s="33">
        <v>14.162868285351507</v>
      </c>
    </row>
    <row r="18" spans="1:2" x14ac:dyDescent="0.2">
      <c r="A18" s="32" t="s">
        <v>157</v>
      </c>
      <c r="B18" s="33">
        <v>13.935077508211839</v>
      </c>
    </row>
    <row r="19" spans="1:2" x14ac:dyDescent="0.2">
      <c r="A19" s="32" t="s">
        <v>59</v>
      </c>
      <c r="B19" s="33">
        <v>13.854992071076758</v>
      </c>
    </row>
    <row r="20" spans="1:2" x14ac:dyDescent="0.2">
      <c r="A20" s="32" t="s">
        <v>147</v>
      </c>
      <c r="B20" s="33">
        <v>13.820205740221866</v>
      </c>
    </row>
    <row r="21" spans="1:2" x14ac:dyDescent="0.2">
      <c r="A21" s="32" t="s">
        <v>67</v>
      </c>
      <c r="B21" s="33">
        <v>12.825636974126011</v>
      </c>
    </row>
    <row r="22" spans="1:2" x14ac:dyDescent="0.2">
      <c r="A22" s="32" t="s">
        <v>169</v>
      </c>
      <c r="B22" s="33">
        <v>12.789779859484778</v>
      </c>
    </row>
    <row r="23" spans="1:2" x14ac:dyDescent="0.2">
      <c r="A23" s="32" t="s">
        <v>39</v>
      </c>
      <c r="B23" s="33">
        <v>12.583424595026237</v>
      </c>
    </row>
    <row r="24" spans="1:2" x14ac:dyDescent="0.2">
      <c r="A24" s="32" t="s">
        <v>37</v>
      </c>
      <c r="B24" s="33">
        <v>11.787800979210056</v>
      </c>
    </row>
    <row r="25" spans="1:2" x14ac:dyDescent="0.2">
      <c r="A25" s="32" t="s">
        <v>177</v>
      </c>
      <c r="B25" s="33">
        <v>10.960020073603213</v>
      </c>
    </row>
    <row r="26" spans="1:2" x14ac:dyDescent="0.2">
      <c r="A26" s="31" t="s">
        <v>6</v>
      </c>
      <c r="B26" s="33">
        <v>161.21591275279258</v>
      </c>
    </row>
    <row r="27" spans="1:2" x14ac:dyDescent="0.2">
      <c r="A27" s="32" t="s">
        <v>9</v>
      </c>
      <c r="B27" s="33">
        <v>11.247169811320756</v>
      </c>
    </row>
    <row r="28" spans="1:2" x14ac:dyDescent="0.2">
      <c r="A28" s="32" t="s">
        <v>77</v>
      </c>
      <c r="B28" s="33">
        <v>10.882142857142856</v>
      </c>
    </row>
    <row r="29" spans="1:2" x14ac:dyDescent="0.2">
      <c r="A29" s="32" t="s">
        <v>127</v>
      </c>
      <c r="B29" s="33">
        <v>10.04107142857143</v>
      </c>
    </row>
    <row r="30" spans="1:2" x14ac:dyDescent="0.2">
      <c r="A30" s="32" t="s">
        <v>123</v>
      </c>
      <c r="B30" s="33">
        <v>9.3303571428571423</v>
      </c>
    </row>
    <row r="31" spans="1:2" x14ac:dyDescent="0.2">
      <c r="A31" s="32" t="s">
        <v>163</v>
      </c>
      <c r="B31" s="33">
        <v>9.0507462686567166</v>
      </c>
    </row>
    <row r="32" spans="1:2" x14ac:dyDescent="0.2">
      <c r="A32" s="32" t="s">
        <v>83</v>
      </c>
      <c r="B32" s="33">
        <v>8.4767857142857146</v>
      </c>
    </row>
    <row r="33" spans="1:2" x14ac:dyDescent="0.2">
      <c r="A33" s="32" t="s">
        <v>55</v>
      </c>
      <c r="B33" s="33">
        <v>8.4442622950819661</v>
      </c>
    </row>
    <row r="34" spans="1:2" x14ac:dyDescent="0.2">
      <c r="A34" s="32" t="s">
        <v>5</v>
      </c>
      <c r="B34" s="33">
        <v>8.2811320754716995</v>
      </c>
    </row>
    <row r="35" spans="1:2" x14ac:dyDescent="0.2">
      <c r="A35" s="32" t="s">
        <v>161</v>
      </c>
      <c r="B35" s="33">
        <v>8.0522388059701502</v>
      </c>
    </row>
    <row r="36" spans="1:2" x14ac:dyDescent="0.2">
      <c r="A36" s="32" t="s">
        <v>20</v>
      </c>
      <c r="B36" s="33">
        <v>7.4377358490566037</v>
      </c>
    </row>
    <row r="37" spans="1:2" x14ac:dyDescent="0.2">
      <c r="A37" s="32" t="s">
        <v>109</v>
      </c>
      <c r="B37" s="33">
        <v>7.1081081081081079</v>
      </c>
    </row>
    <row r="38" spans="1:2" x14ac:dyDescent="0.2">
      <c r="A38" s="32" t="s">
        <v>101</v>
      </c>
      <c r="B38" s="33">
        <v>7.0310810810810809</v>
      </c>
    </row>
    <row r="39" spans="1:2" x14ac:dyDescent="0.2">
      <c r="A39" s="32" t="s">
        <v>145</v>
      </c>
      <c r="B39" s="33">
        <v>6.7149253731343279</v>
      </c>
    </row>
    <row r="40" spans="1:2" x14ac:dyDescent="0.2">
      <c r="A40" s="32" t="s">
        <v>47</v>
      </c>
      <c r="B40" s="33">
        <v>6.6624999999999996</v>
      </c>
    </row>
    <row r="41" spans="1:2" x14ac:dyDescent="0.2">
      <c r="A41" s="32" t="s">
        <v>95</v>
      </c>
      <c r="B41" s="33">
        <v>6.2267857142857146</v>
      </c>
    </row>
    <row r="42" spans="1:2" x14ac:dyDescent="0.2">
      <c r="A42" s="32" t="s">
        <v>35</v>
      </c>
      <c r="B42" s="33">
        <v>5.4486111111111111</v>
      </c>
    </row>
    <row r="43" spans="1:2" x14ac:dyDescent="0.2">
      <c r="A43" s="32" t="s">
        <v>185</v>
      </c>
      <c r="B43" s="33">
        <v>5.1983606557377051</v>
      </c>
    </row>
    <row r="44" spans="1:2" x14ac:dyDescent="0.2">
      <c r="A44" s="32" t="s">
        <v>111</v>
      </c>
      <c r="B44" s="33">
        <v>4.1351351351351351</v>
      </c>
    </row>
    <row r="45" spans="1:2" x14ac:dyDescent="0.2">
      <c r="A45" s="32" t="s">
        <v>107</v>
      </c>
      <c r="B45" s="33">
        <v>3.6945945945945944</v>
      </c>
    </row>
    <row r="46" spans="1:2" x14ac:dyDescent="0.2">
      <c r="A46" s="32" t="s">
        <v>57</v>
      </c>
      <c r="B46" s="33">
        <v>3.6622950819672133</v>
      </c>
    </row>
    <row r="47" spans="1:2" x14ac:dyDescent="0.2">
      <c r="A47" s="32" t="s">
        <v>22</v>
      </c>
      <c r="B47" s="33">
        <v>3.6188679245283017</v>
      </c>
    </row>
    <row r="48" spans="1:2" x14ac:dyDescent="0.2">
      <c r="A48" s="32" t="s">
        <v>63</v>
      </c>
      <c r="B48" s="33">
        <v>3.432786885245902</v>
      </c>
    </row>
    <row r="49" spans="1:2" x14ac:dyDescent="0.2">
      <c r="A49" s="32" t="s">
        <v>139</v>
      </c>
      <c r="B49" s="33">
        <v>3.2732142857142854</v>
      </c>
    </row>
    <row r="50" spans="1:2" x14ac:dyDescent="0.2">
      <c r="A50" s="32" t="s">
        <v>175</v>
      </c>
      <c r="B50" s="33">
        <v>2.0163934426229511</v>
      </c>
    </row>
    <row r="51" spans="1:2" x14ac:dyDescent="0.2">
      <c r="A51" s="32" t="s">
        <v>53</v>
      </c>
      <c r="B51" s="33">
        <v>1.7486111111111111</v>
      </c>
    </row>
    <row r="52" spans="1:2" x14ac:dyDescent="0.2">
      <c r="A52" s="31" t="s">
        <v>12</v>
      </c>
      <c r="B52" s="33">
        <v>231.23281717418516</v>
      </c>
    </row>
    <row r="53" spans="1:2" x14ac:dyDescent="0.2">
      <c r="A53" s="32" t="s">
        <v>91</v>
      </c>
      <c r="B53" s="33">
        <v>9.8054852077817429</v>
      </c>
    </row>
    <row r="54" spans="1:2" x14ac:dyDescent="0.2">
      <c r="A54" s="32" t="s">
        <v>25</v>
      </c>
      <c r="B54" s="33">
        <v>9.5132082886877729</v>
      </c>
    </row>
    <row r="55" spans="1:2" x14ac:dyDescent="0.2">
      <c r="A55" s="32" t="s">
        <v>141</v>
      </c>
      <c r="B55" s="33">
        <v>9.0567521169482248</v>
      </c>
    </row>
    <row r="56" spans="1:2" x14ac:dyDescent="0.2">
      <c r="A56" s="32" t="s">
        <v>27</v>
      </c>
      <c r="B56" s="33">
        <v>8.7281771072221161</v>
      </c>
    </row>
    <row r="57" spans="1:2" x14ac:dyDescent="0.2">
      <c r="A57" s="32" t="s">
        <v>181</v>
      </c>
      <c r="B57" s="33">
        <v>8.6150328210145499</v>
      </c>
    </row>
    <row r="58" spans="1:2" x14ac:dyDescent="0.2">
      <c r="A58" s="32" t="s">
        <v>117</v>
      </c>
      <c r="B58" s="33">
        <v>8.5639849387502416</v>
      </c>
    </row>
    <row r="59" spans="1:2" x14ac:dyDescent="0.2">
      <c r="A59" s="32" t="s">
        <v>41</v>
      </c>
      <c r="B59" s="33">
        <v>8.2516233766233764</v>
      </c>
    </row>
    <row r="60" spans="1:2" x14ac:dyDescent="0.2">
      <c r="A60" s="32" t="s">
        <v>131</v>
      </c>
      <c r="B60" s="33">
        <v>8.0011520737327189</v>
      </c>
    </row>
    <row r="61" spans="1:2" x14ac:dyDescent="0.2">
      <c r="A61" s="32" t="s">
        <v>51</v>
      </c>
      <c r="B61" s="33">
        <v>7.9913694558756276</v>
      </c>
    </row>
    <row r="62" spans="1:2" x14ac:dyDescent="0.2">
      <c r="A62" s="32" t="s">
        <v>171</v>
      </c>
      <c r="B62" s="33">
        <v>7.9761832031458351</v>
      </c>
    </row>
    <row r="63" spans="1:2" x14ac:dyDescent="0.2">
      <c r="A63" s="32" t="s">
        <v>115</v>
      </c>
      <c r="B63" s="33">
        <v>7.9524411133243937</v>
      </c>
    </row>
    <row r="64" spans="1:2" x14ac:dyDescent="0.2">
      <c r="A64" s="32" t="s">
        <v>61</v>
      </c>
      <c r="B64" s="33">
        <v>7.9138930286471281</v>
      </c>
    </row>
    <row r="65" spans="1:2" x14ac:dyDescent="0.2">
      <c r="A65" s="32" t="s">
        <v>29</v>
      </c>
      <c r="B65" s="33">
        <v>7.8190536614071871</v>
      </c>
    </row>
    <row r="66" spans="1:2" x14ac:dyDescent="0.2">
      <c r="A66" s="32" t="s">
        <v>105</v>
      </c>
      <c r="B66" s="33">
        <v>7.5616481866481857</v>
      </c>
    </row>
    <row r="67" spans="1:2" x14ac:dyDescent="0.2">
      <c r="A67" s="32" t="s">
        <v>151</v>
      </c>
      <c r="B67" s="33">
        <v>7.5529196330576776</v>
      </c>
    </row>
    <row r="68" spans="1:2" x14ac:dyDescent="0.2">
      <c r="A68" s="32" t="s">
        <v>73</v>
      </c>
      <c r="B68" s="33">
        <v>7.4333923127758004</v>
      </c>
    </row>
    <row r="69" spans="1:2" x14ac:dyDescent="0.2">
      <c r="A69" s="32" t="s">
        <v>85</v>
      </c>
      <c r="B69" s="33">
        <v>7.3509056732740943</v>
      </c>
    </row>
    <row r="70" spans="1:2" x14ac:dyDescent="0.2">
      <c r="A70" s="32" t="s">
        <v>179</v>
      </c>
      <c r="B70" s="33">
        <v>7.2784722522600465</v>
      </c>
    </row>
    <row r="71" spans="1:2" x14ac:dyDescent="0.2">
      <c r="A71" s="32" t="s">
        <v>137</v>
      </c>
      <c r="B71" s="33">
        <v>7.1897058823529409</v>
      </c>
    </row>
    <row r="72" spans="1:2" x14ac:dyDescent="0.2">
      <c r="A72" s="32" t="s">
        <v>43</v>
      </c>
      <c r="B72" s="33">
        <v>6.8005045083726916</v>
      </c>
    </row>
    <row r="73" spans="1:2" x14ac:dyDescent="0.2">
      <c r="A73" s="32" t="s">
        <v>159</v>
      </c>
      <c r="B73" s="33">
        <v>6.794655820979207</v>
      </c>
    </row>
    <row r="74" spans="1:2" x14ac:dyDescent="0.2">
      <c r="A74" s="32" t="s">
        <v>113</v>
      </c>
      <c r="B74" s="33">
        <v>6.77952309549062</v>
      </c>
    </row>
    <row r="75" spans="1:2" x14ac:dyDescent="0.2">
      <c r="A75" s="32" t="s">
        <v>45</v>
      </c>
      <c r="B75" s="33">
        <v>6.7146705853539066</v>
      </c>
    </row>
    <row r="76" spans="1:2" x14ac:dyDescent="0.2">
      <c r="A76" s="32" t="s">
        <v>183</v>
      </c>
      <c r="B76" s="33">
        <v>6.7099267036553858</v>
      </c>
    </row>
    <row r="77" spans="1:2" x14ac:dyDescent="0.2">
      <c r="A77" s="32" t="s">
        <v>11</v>
      </c>
      <c r="B77" s="33">
        <v>6.6986967516047446</v>
      </c>
    </row>
    <row r="78" spans="1:2" x14ac:dyDescent="0.2">
      <c r="A78" s="32" t="s">
        <v>75</v>
      </c>
      <c r="B78" s="33">
        <v>6.1777548379144598</v>
      </c>
    </row>
    <row r="79" spans="1:2" x14ac:dyDescent="0.2">
      <c r="A79" s="32" t="s">
        <v>129</v>
      </c>
      <c r="B79" s="33">
        <v>6.1127551020408166</v>
      </c>
    </row>
    <row r="80" spans="1:2" x14ac:dyDescent="0.2">
      <c r="A80" s="32" t="s">
        <v>153</v>
      </c>
      <c r="B80" s="33">
        <v>6.091572852461244</v>
      </c>
    </row>
    <row r="81" spans="1:2" x14ac:dyDescent="0.2">
      <c r="A81" s="32" t="s">
        <v>97</v>
      </c>
      <c r="B81" s="33">
        <v>6.0746955746955758</v>
      </c>
    </row>
    <row r="82" spans="1:2" x14ac:dyDescent="0.2">
      <c r="A82" s="32" t="s">
        <v>71</v>
      </c>
      <c r="B82" s="33">
        <v>6.0555261766261221</v>
      </c>
    </row>
    <row r="83" spans="1:2" x14ac:dyDescent="0.2">
      <c r="A83" s="32" t="s">
        <v>93</v>
      </c>
      <c r="B83" s="33">
        <v>5.6671348314606735</v>
      </c>
    </row>
    <row r="84" spans="1:2" x14ac:dyDescent="0.2">
      <c r="A84" s="31" t="s">
        <v>18</v>
      </c>
      <c r="B84" s="33">
        <v>84.475766098645067</v>
      </c>
    </row>
    <row r="85" spans="1:2" x14ac:dyDescent="0.2">
      <c r="A85" s="32" t="s">
        <v>87</v>
      </c>
      <c r="B85" s="33">
        <v>11.321428571428571</v>
      </c>
    </row>
    <row r="86" spans="1:2" x14ac:dyDescent="0.2">
      <c r="A86" s="32" t="s">
        <v>165</v>
      </c>
      <c r="B86" s="33">
        <v>10.622950819672131</v>
      </c>
    </row>
    <row r="87" spans="1:2" x14ac:dyDescent="0.2">
      <c r="A87" s="32" t="s">
        <v>17</v>
      </c>
      <c r="B87" s="33">
        <v>8.9660377358490564</v>
      </c>
    </row>
    <row r="88" spans="1:2" x14ac:dyDescent="0.2">
      <c r="A88" s="32" t="s">
        <v>135</v>
      </c>
      <c r="B88" s="33">
        <v>7.6642857142857137</v>
      </c>
    </row>
    <row r="89" spans="1:2" x14ac:dyDescent="0.2">
      <c r="A89" s="32" t="s">
        <v>149</v>
      </c>
      <c r="B89" s="33">
        <v>6.9925373134328357</v>
      </c>
    </row>
    <row r="90" spans="1:2" x14ac:dyDescent="0.2">
      <c r="A90" s="32" t="s">
        <v>33</v>
      </c>
      <c r="B90" s="33">
        <v>5.7847222222222223</v>
      </c>
    </row>
    <row r="91" spans="1:2" x14ac:dyDescent="0.2">
      <c r="A91" s="32" t="s">
        <v>173</v>
      </c>
      <c r="B91" s="33">
        <v>5.6672131147540981</v>
      </c>
    </row>
    <row r="92" spans="1:2" x14ac:dyDescent="0.2">
      <c r="A92" s="32" t="s">
        <v>167</v>
      </c>
      <c r="B92" s="33">
        <v>5.4606557377049176</v>
      </c>
    </row>
    <row r="93" spans="1:2" x14ac:dyDescent="0.2">
      <c r="A93" s="32" t="s">
        <v>65</v>
      </c>
      <c r="B93" s="33">
        <v>5.3278688524590168</v>
      </c>
    </row>
    <row r="94" spans="1:2" x14ac:dyDescent="0.2">
      <c r="A94" s="32" t="s">
        <v>69</v>
      </c>
      <c r="B94" s="33">
        <v>5.2836065573770492</v>
      </c>
    </row>
    <row r="95" spans="1:2" x14ac:dyDescent="0.2">
      <c r="A95" s="32" t="s">
        <v>99</v>
      </c>
      <c r="B95" s="33">
        <v>4.45</v>
      </c>
    </row>
    <row r="96" spans="1:2" x14ac:dyDescent="0.2">
      <c r="A96" s="32" t="s">
        <v>119</v>
      </c>
      <c r="B96" s="33">
        <v>3.6594594594594598</v>
      </c>
    </row>
    <row r="97" spans="1:2" x14ac:dyDescent="0.2">
      <c r="A97" s="32" t="s">
        <v>125</v>
      </c>
      <c r="B97" s="33">
        <v>1.8053571428571427</v>
      </c>
    </row>
    <row r="98" spans="1:2" x14ac:dyDescent="0.2">
      <c r="A98" s="32" t="s">
        <v>121</v>
      </c>
      <c r="B98" s="33">
        <v>1.469642857142857</v>
      </c>
    </row>
    <row r="99" spans="1:2" x14ac:dyDescent="0.2">
      <c r="A99" s="31" t="s">
        <v>483</v>
      </c>
      <c r="B99" s="33">
        <v>743.36895277550457</v>
      </c>
    </row>
  </sheetData>
  <sortState xmlns:xlrd2="http://schemas.microsoft.com/office/spreadsheetml/2017/richdata2" ref="A6:B99">
    <sortCondition descending="1" ref="A15"/>
  </sortState>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1D0CC47-B0F5-B342-8CBA-C0EE5F8B75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players </vt:lpstr>
      <vt:lpstr>matches </vt:lpstr>
      <vt:lpstr>Teams</vt:lpstr>
      <vt:lpstr>batting_stats </vt:lpstr>
      <vt:lpstr>bowling_stats </vt:lpstr>
      <vt:lpstr>auction_data</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 karve</dc:creator>
  <cp:lastModifiedBy>om karve</cp:lastModifiedBy>
  <dcterms:created xsi:type="dcterms:W3CDTF">2026-06-04T06:14:25Z</dcterms:created>
  <dcterms:modified xsi:type="dcterms:W3CDTF">2026-06-04T13:19:01Z</dcterms:modified>
</cp:coreProperties>
</file>